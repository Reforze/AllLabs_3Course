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niversity\Лабы 3-ий курс\ИБ\"/>
    </mc:Choice>
  </mc:AlternateContent>
  <xr:revisionPtr revIDLastSave="0" documentId="13_ncr:1_{BDA42BAE-8AC5-43AE-A775-2DACAE700D7B}" xr6:coauthVersionLast="47" xr6:coauthVersionMax="47" xr10:uidLastSave="{00000000-0000-0000-0000-000000000000}"/>
  <bookViews>
    <workbookView xWindow="-108" yWindow="-108" windowWidth="23256" windowHeight="13176" tabRatio="500" activeTab="3" xr2:uid="{00000000-000D-0000-FFFF-FFFF00000000}"/>
  </bookViews>
  <sheets>
    <sheet name="Задание" sheetId="1" r:id="rId1"/>
    <sheet name="RSA" sheetId="2" r:id="rId2"/>
    <sheet name="Ранец" sheetId="3" r:id="rId3"/>
    <sheet name="Эль-Гамаль" sheetId="4" r:id="rId4"/>
    <sheet name="Итог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4" l="1"/>
  <c r="G23" i="4" s="1"/>
  <c r="G24" i="4" s="1"/>
  <c r="G25" i="4" s="1"/>
  <c r="G26" i="4" s="1"/>
  <c r="G27" i="4" s="1"/>
  <c r="C17" i="4" s="1"/>
  <c r="C8" i="4"/>
  <c r="C16" i="4" s="1"/>
  <c r="J19" i="3"/>
  <c r="I19" i="3"/>
  <c r="C19" i="3"/>
  <c r="J18" i="3"/>
  <c r="I18" i="3"/>
  <c r="H18" i="3"/>
  <c r="H19" i="3" s="1"/>
  <c r="G18" i="3"/>
  <c r="G19" i="3" s="1"/>
  <c r="F18" i="3"/>
  <c r="F19" i="3" s="1"/>
  <c r="E18" i="3"/>
  <c r="E19" i="3" s="1"/>
  <c r="D18" i="3"/>
  <c r="D19" i="3" s="1"/>
  <c r="C18" i="3"/>
  <c r="C14" i="3"/>
  <c r="C12" i="3"/>
  <c r="C10" i="3"/>
  <c r="J7" i="3"/>
  <c r="G7" i="3"/>
  <c r="E7" i="3"/>
  <c r="D7" i="3"/>
  <c r="J6" i="3"/>
  <c r="I6" i="3"/>
  <c r="I7" i="3" s="1"/>
  <c r="H6" i="3"/>
  <c r="H7" i="3" s="1"/>
  <c r="G6" i="3"/>
  <c r="F6" i="3"/>
  <c r="F7" i="3" s="1"/>
  <c r="E6" i="3"/>
  <c r="D6" i="3"/>
  <c r="C6" i="3"/>
  <c r="C7" i="3" s="1"/>
  <c r="F21" i="2"/>
  <c r="F22" i="2" s="1"/>
  <c r="F23" i="2" s="1"/>
  <c r="G20" i="2"/>
  <c r="G21" i="2" s="1"/>
  <c r="G22" i="2" s="1"/>
  <c r="G23" i="2" s="1"/>
  <c r="F20" i="2"/>
  <c r="D20" i="2"/>
  <c r="D21" i="2" s="1"/>
  <c r="D22" i="2" s="1"/>
  <c r="D23" i="2" s="1"/>
  <c r="C8" i="2"/>
  <c r="C11" i="2" s="1"/>
  <c r="C7" i="2"/>
  <c r="C20" i="2" s="1"/>
  <c r="C21" i="2" s="1"/>
  <c r="C22" i="2" s="1"/>
  <c r="C23" i="2" s="1"/>
  <c r="C28" i="2" l="1"/>
  <c r="C30" i="2" s="1"/>
  <c r="C31" i="2" s="1"/>
  <c r="C32" i="2" s="1"/>
  <c r="C33" i="2" s="1"/>
  <c r="C34" i="2" s="1"/>
  <c r="C35" i="2" s="1"/>
  <c r="C36" i="2" s="1"/>
  <c r="C37" i="2" s="1"/>
  <c r="C38" i="2" s="1"/>
  <c r="B5" i="5"/>
  <c r="D28" i="2"/>
  <c r="D30" i="2" s="1"/>
  <c r="D31" i="2" s="1"/>
  <c r="D32" i="2" s="1"/>
  <c r="D33" i="2" s="1"/>
  <c r="D34" i="2" s="1"/>
  <c r="D35" i="2" s="1"/>
  <c r="D36" i="2" s="1"/>
  <c r="D37" i="2" s="1"/>
  <c r="D38" i="2" s="1"/>
  <c r="C5" i="5"/>
  <c r="G28" i="2"/>
  <c r="G30" i="2" s="1"/>
  <c r="G31" i="2" s="1"/>
  <c r="G32" i="2" s="1"/>
  <c r="G33" i="2" s="1"/>
  <c r="G34" i="2" s="1"/>
  <c r="G35" i="2" s="1"/>
  <c r="G36" i="2" s="1"/>
  <c r="G37" i="2" s="1"/>
  <c r="G38" i="2" s="1"/>
  <c r="F5" i="5"/>
  <c r="F28" i="2"/>
  <c r="F30" i="2" s="1"/>
  <c r="F31" i="2" s="1"/>
  <c r="F32" i="2" s="1"/>
  <c r="F33" i="2" s="1"/>
  <c r="F34" i="2" s="1"/>
  <c r="F35" i="2" s="1"/>
  <c r="F36" i="2" s="1"/>
  <c r="F37" i="2" s="1"/>
  <c r="F38" i="2" s="1"/>
  <c r="E5" i="5"/>
  <c r="K26" i="3"/>
  <c r="E33" i="4"/>
  <c r="D33" i="4"/>
  <c r="C33" i="4"/>
  <c r="B33" i="4"/>
  <c r="F33" i="4"/>
  <c r="K27" i="3"/>
  <c r="E20" i="2"/>
  <c r="E21" i="2" s="1"/>
  <c r="E22" i="2" s="1"/>
  <c r="E23" i="2" s="1"/>
  <c r="B7" i="5"/>
  <c r="B32" i="4"/>
  <c r="C7" i="5"/>
  <c r="C32" i="4"/>
  <c r="D7" i="5"/>
  <c r="D32" i="4"/>
  <c r="E7" i="5"/>
  <c r="E32" i="4"/>
  <c r="F7" i="5"/>
  <c r="F32" i="4"/>
  <c r="K23" i="3"/>
  <c r="K24" i="3"/>
  <c r="K25" i="3"/>
  <c r="D8" i="5" l="1"/>
  <c r="D37" i="4"/>
  <c r="D38" i="4" s="1"/>
  <c r="D39" i="4" s="1"/>
  <c r="B34" i="3"/>
  <c r="C34" i="3" s="1"/>
  <c r="E6" i="5"/>
  <c r="C8" i="5"/>
  <c r="C37" i="4"/>
  <c r="C38" i="4" s="1"/>
  <c r="C39" i="4" s="1"/>
  <c r="D6" i="5"/>
  <c r="B33" i="3"/>
  <c r="C33" i="3" s="1"/>
  <c r="B8" i="5"/>
  <c r="B37" i="4"/>
  <c r="B38" i="4" s="1"/>
  <c r="B39" i="4" s="1"/>
  <c r="E8" i="5"/>
  <c r="E37" i="4"/>
  <c r="E38" i="4" s="1"/>
  <c r="E39" i="4" s="1"/>
  <c r="C6" i="5"/>
  <c r="B32" i="3"/>
  <c r="C32" i="3" s="1"/>
  <c r="E28" i="2"/>
  <c r="E30" i="2" s="1"/>
  <c r="E31" i="2" s="1"/>
  <c r="E32" i="2" s="1"/>
  <c r="E33" i="2" s="1"/>
  <c r="E34" i="2" s="1"/>
  <c r="E35" i="2" s="1"/>
  <c r="E36" i="2" s="1"/>
  <c r="E37" i="2" s="1"/>
  <c r="E38" i="2" s="1"/>
  <c r="D5" i="5"/>
  <c r="B6" i="5"/>
  <c r="B31" i="3"/>
  <c r="C31" i="3" s="1"/>
  <c r="B35" i="3"/>
  <c r="C35" i="3" s="1"/>
  <c r="F6" i="5"/>
  <c r="F8" i="5"/>
  <c r="F37" i="4"/>
  <c r="F38" i="4" s="1"/>
  <c r="F39" i="4" s="1"/>
  <c r="D33" i="3" l="1"/>
  <c r="E33" i="3"/>
  <c r="E35" i="3"/>
  <c r="D35" i="3"/>
  <c r="D34" i="3"/>
  <c r="D31" i="3"/>
  <c r="D32" i="3"/>
  <c r="F35" i="3" l="1"/>
  <c r="G35" i="3" s="1"/>
  <c r="H35" i="3" s="1"/>
  <c r="E34" i="3"/>
  <c r="F33" i="3"/>
  <c r="E31" i="3"/>
  <c r="E32" i="3"/>
  <c r="G33" i="3" l="1"/>
  <c r="H33" i="3" s="1"/>
  <c r="F31" i="3"/>
  <c r="I35" i="3"/>
  <c r="J35" i="3" s="1"/>
  <c r="K35" i="3" s="1"/>
  <c r="F32" i="3"/>
  <c r="G32" i="3" s="1"/>
  <c r="F34" i="3"/>
  <c r="M35" i="3" l="1"/>
  <c r="N35" i="3" s="1"/>
  <c r="L35" i="3"/>
  <c r="H31" i="3"/>
  <c r="H32" i="3"/>
  <c r="I32" i="3" s="1"/>
  <c r="G34" i="3"/>
  <c r="H34" i="3" s="1"/>
  <c r="K33" i="3"/>
  <c r="I31" i="3"/>
  <c r="J31" i="3" s="1"/>
  <c r="K31" i="3" s="1"/>
  <c r="G31" i="3"/>
  <c r="I33" i="3"/>
  <c r="J33" i="3" s="1"/>
  <c r="L31" i="3" l="1"/>
  <c r="M31" i="3"/>
  <c r="N31" i="3" s="1"/>
  <c r="J32" i="3"/>
  <c r="K32" i="3" s="1"/>
  <c r="I34" i="3"/>
  <c r="J34" i="3" s="1"/>
  <c r="K34" i="3" s="1"/>
  <c r="M33" i="3"/>
  <c r="N33" i="3" s="1"/>
  <c r="L33" i="3"/>
  <c r="M34" i="3" l="1"/>
  <c r="N34" i="3" s="1"/>
  <c r="L34" i="3"/>
  <c r="M32" i="3"/>
  <c r="N32" i="3" s="1"/>
  <c r="L32" i="3"/>
</calcChain>
</file>

<file path=xl/sharedStrings.xml><?xml version="1.0" encoding="utf-8"?>
<sst xmlns="http://schemas.openxmlformats.org/spreadsheetml/2006/main" count="323" uniqueCount="241">
  <si>
    <t>Отчёт, Щуров Роман Александрович, АСБ-3-041</t>
  </si>
  <si>
    <t>ЛАБОРАТОРНАЯ РАБОТА № 11. ШИФРОВАНИЕ С ОТКРЫТЫМ КЛЮЧОМ — RSA</t>
  </si>
  <si>
    <t>Задание на лабораторную работу</t>
  </si>
  <si>
    <t>В лабораторной работе необходимо зашифровать свою фамилию с помощью следующих шифров:</t>
  </si>
  <si>
    <t xml:space="preserve">    •  алгоритма RSA;</t>
  </si>
  <si>
    <t xml:space="preserve">    •  алгоритма на основе задачи об укладке ранца;</t>
  </si>
  <si>
    <t xml:space="preserve">    •  алгоритма шифрования Эль-Гамаля.</t>
  </si>
  <si>
    <t>При оформлении отчёта необходимо привести исходное сообщение (фамилию) и таблицы генерации ключей, шифрования и расшифрования. Для первого и третьего способов принять, что код символа соответствует его положению в алфавите, для второго — в соответствии с кодировкой Windows 1251.</t>
  </si>
  <si>
    <t>Таблица 1. Коды символов Windows 1251 и их двоичное представление</t>
  </si>
  <si>
    <t>Буква</t>
  </si>
  <si>
    <t>Dec</t>
  </si>
  <si>
    <t>Bin</t>
  </si>
  <si>
    <t>А</t>
  </si>
  <si>
    <t>1100 0000</t>
  </si>
  <si>
    <t>Л</t>
  </si>
  <si>
    <t>1100 1011</t>
  </si>
  <si>
    <t>Ц</t>
  </si>
  <si>
    <t>1101 0110</t>
  </si>
  <si>
    <t>Б</t>
  </si>
  <si>
    <t>1100 0001</t>
  </si>
  <si>
    <t>М</t>
  </si>
  <si>
    <t>1100 1100</t>
  </si>
  <si>
    <t>Ч</t>
  </si>
  <si>
    <t>1101 0111</t>
  </si>
  <si>
    <t>В</t>
  </si>
  <si>
    <t>1100 0010</t>
  </si>
  <si>
    <t>Н</t>
  </si>
  <si>
    <t>1100 1101</t>
  </si>
  <si>
    <t>Ш</t>
  </si>
  <si>
    <t>1101 1000</t>
  </si>
  <si>
    <t>Г</t>
  </si>
  <si>
    <t>1100 0011</t>
  </si>
  <si>
    <t>О</t>
  </si>
  <si>
    <t>1100 1110</t>
  </si>
  <si>
    <t>Щ</t>
  </si>
  <si>
    <t>1101 1001</t>
  </si>
  <si>
    <t>Д</t>
  </si>
  <si>
    <t>1100 0100</t>
  </si>
  <si>
    <t>П</t>
  </si>
  <si>
    <t>1100 1111</t>
  </si>
  <si>
    <t>Ъ</t>
  </si>
  <si>
    <t>1101 1010</t>
  </si>
  <si>
    <t>Е</t>
  </si>
  <si>
    <t>1100 0101</t>
  </si>
  <si>
    <t>Р</t>
  </si>
  <si>
    <t>1101 0000</t>
  </si>
  <si>
    <t>Ы</t>
  </si>
  <si>
    <t>1101 1011</t>
  </si>
  <si>
    <t>Ж</t>
  </si>
  <si>
    <t>1100 0110</t>
  </si>
  <si>
    <t>С</t>
  </si>
  <si>
    <t>1101 0001</t>
  </si>
  <si>
    <t>Ь</t>
  </si>
  <si>
    <t>1101 1100</t>
  </si>
  <si>
    <t>З</t>
  </si>
  <si>
    <t>1100 0111</t>
  </si>
  <si>
    <t>Т</t>
  </si>
  <si>
    <t>1101 0010</t>
  </si>
  <si>
    <t>Э</t>
  </si>
  <si>
    <t>1101 1101</t>
  </si>
  <si>
    <t>И</t>
  </si>
  <si>
    <t>1100 1000</t>
  </si>
  <si>
    <t>У</t>
  </si>
  <si>
    <t>1101 0011</t>
  </si>
  <si>
    <t>Ю</t>
  </si>
  <si>
    <t>1101 1110</t>
  </si>
  <si>
    <t>Й</t>
  </si>
  <si>
    <t>1100 1001</t>
  </si>
  <si>
    <t>Ф</t>
  </si>
  <si>
    <t>1101 0100</t>
  </si>
  <si>
    <t>Я</t>
  </si>
  <si>
    <t>1101 1111</t>
  </si>
  <si>
    <t>К</t>
  </si>
  <si>
    <t>1100 1010</t>
  </si>
  <si>
    <t>Х</t>
  </si>
  <si>
    <t>1101 0101</t>
  </si>
  <si>
    <t>Примечание. Dec-код — десятичный код символа, Bin-код — двоичный код символа.</t>
  </si>
  <si>
    <t>Исходные данные</t>
  </si>
  <si>
    <t>Исходное сообщение (фамилия): ЩУРОВ</t>
  </si>
  <si>
    <t>Таблица 2. Коды символов фамилии «ЩУРОВ»</t>
  </si>
  <si>
    <t>Символ</t>
  </si>
  <si>
    <t>Номер в алфавите (Т)</t>
  </si>
  <si>
    <t>Dec-код Windows 1251</t>
  </si>
  <si>
    <t>Bin-код Windows 1251</t>
  </si>
  <si>
    <t>1. Шифрование фамилии «ЩУРОВ» по алгоритму RSA</t>
  </si>
  <si>
    <t>Таблица 3. Генерация ключей RSA</t>
  </si>
  <si>
    <t>Параметр</t>
  </si>
  <si>
    <t>Обозн.</t>
  </si>
  <si>
    <t>Значение</t>
  </si>
  <si>
    <t>Формула / пояснение</t>
  </si>
  <si>
    <t>Первое простое число</t>
  </si>
  <si>
    <t>p</t>
  </si>
  <si>
    <t>Выбрано вручную (простое)</t>
  </si>
  <si>
    <t>Второе простое число</t>
  </si>
  <si>
    <t>q</t>
  </si>
  <si>
    <t>Произведение</t>
  </si>
  <si>
    <t>n</t>
  </si>
  <si>
    <t>n = p · q</t>
  </si>
  <si>
    <t>Функция Эйлера</t>
  </si>
  <si>
    <t>φ(n)</t>
  </si>
  <si>
    <t>φ(n) = (p-1)·(q-1)</t>
  </si>
  <si>
    <t>Открытая экспонента</t>
  </si>
  <si>
    <t>e</t>
  </si>
  <si>
    <t>выбрано: НОД(e, φ(n)) = 1</t>
  </si>
  <si>
    <t>Закрытая экспонента</t>
  </si>
  <si>
    <t>d</t>
  </si>
  <si>
    <t>найдено по расширенному алгоритму Евклида из условия (d·e) mod φ(n) = 1</t>
  </si>
  <si>
    <t>Проверка: (e · d) mod φ(n)</t>
  </si>
  <si>
    <t>1?</t>
  </si>
  <si>
    <t>должно быть равно 1</t>
  </si>
  <si>
    <t>Открытый ключ: (e, n);   Закрытый ключ: (d, n)</t>
  </si>
  <si>
    <t>Таблица 4. Шифрование по алгоритму RSA: C = T⁷ mod n</t>
  </si>
  <si>
    <t>Применяется алгоритм «возведение в степень по модулю» (square-and-multiply). 7 = 111₂: для каждого бита (от старшего к младшему) r = r²·T mod n.</t>
  </si>
  <si>
    <t>Шаг</t>
  </si>
  <si>
    <t>Символ →</t>
  </si>
  <si>
    <t>Исх. T (номер в алфавите)</t>
  </si>
  <si>
    <t>Шаг 0</t>
  </si>
  <si>
    <t>Шаг 1 (бит=1): r = r²·T mod n</t>
  </si>
  <si>
    <t>Шаг 2 (бит=1): r = r²·T mod n</t>
  </si>
  <si>
    <t>Шаг 3 (бит=1): r = r²·T mod n</t>
  </si>
  <si>
    <t>Шифрограмма C = T⁷ mod n</t>
  </si>
  <si>
    <t>Таблица 5. Расшифрование по алгоритму RSA: T = C¹⁰³ mod n</t>
  </si>
  <si>
    <t>103 = 1100111₂ (7 бит). На каждом шаге (от старшего бита к младшему): если бит = 1, то r = r²·C mod n; если бит = 0, то r = r² mod n.</t>
  </si>
  <si>
    <t>Исх. C (шифрограмма)</t>
  </si>
  <si>
    <t>Шаг 1 (бит=1): r = r²·C mod n</t>
  </si>
  <si>
    <t>Шаг 2 (бит=1): r = r²·C mod n</t>
  </si>
  <si>
    <t>Шаг 3 (бит=0): r = r² mod n</t>
  </si>
  <si>
    <t>Шаг 4 (бит=0): r = r² mod n</t>
  </si>
  <si>
    <t>Шаг 5 (бит=1): r = r²·C mod n</t>
  </si>
  <si>
    <t>Шаг 6 (бит=1): r = r²·C mod n</t>
  </si>
  <si>
    <t>Шаг 7 (бит=1): r = r²·C mod n</t>
  </si>
  <si>
    <t>Расшифровано T = C¹⁰³ mod n</t>
  </si>
  <si>
    <t>Символ по номеру</t>
  </si>
  <si>
    <t>Вывод: расшифрованное сообщение совпадает с исходным — алгоритм RSA работает корректно.</t>
  </si>
  <si>
    <t>Таблица 6. Параметры алгоритма</t>
  </si>
  <si>
    <t>Значение / формула</t>
  </si>
  <si>
    <t>Сверхвозрастающая последовательность (закрытый ключ)</t>
  </si>
  <si>
    <t>kᵢ</t>
  </si>
  <si>
    <t>Проверка: сумма всех предыдущих</t>
  </si>
  <si>
    <t>Σkⱼ (j&lt;i)</t>
  </si>
  <si>
    <t>Свойство: kᵢ &gt; Σ  (ИСТИНА = сверхвозрастающая)</t>
  </si>
  <si>
    <t>kᵢ &gt; Σ</t>
  </si>
  <si>
    <t>Модуль</t>
  </si>
  <si>
    <t>m</t>
  </si>
  <si>
    <t>m &gt; Σkᵢ;  Σkᵢ = =SUM(C5:J5)</t>
  </si>
  <si>
    <t>Сумма всех элементов закрытого ключа</t>
  </si>
  <si>
    <t>Σkᵢ</t>
  </si>
  <si>
    <t>должно быть &lt; m</t>
  </si>
  <si>
    <t>Множитель</t>
  </si>
  <si>
    <t>НОД(n, m) = 1</t>
  </si>
  <si>
    <t>Проверка: НОД(n, m)</t>
  </si>
  <si>
    <t>НОД</t>
  </si>
  <si>
    <t>Обратный элемент по модулю m</t>
  </si>
  <si>
    <t>n⁻¹</t>
  </si>
  <si>
    <t>найден по расширенному алгоритму Евклида: (n · n⁻¹) mod m = 1</t>
  </si>
  <si>
    <t>Проверка: (n · n⁻¹) mod m</t>
  </si>
  <si>
    <t>Таблица 7. Формирование открытого ключа: βᵢ = (kᵢ · n) mod m</t>
  </si>
  <si>
    <t>Индекс i</t>
  </si>
  <si>
    <t>Закрытый ключ, kᵢ</t>
  </si>
  <si>
    <t>Открытый ключ, βᵢ = (kᵢ · n) mod m</t>
  </si>
  <si>
    <t>βᵢ</t>
  </si>
  <si>
    <t>Таблица 8. Шифрование фамилии «ЩУРОВ»: cᵢ = Σ(bⱼ · βⱼ), где bⱼ — j-й бит Bin-кода</t>
  </si>
  <si>
    <t>бит 1</t>
  </si>
  <si>
    <t>бит 2</t>
  </si>
  <si>
    <t>бит 3</t>
  </si>
  <si>
    <t>бит 4</t>
  </si>
  <si>
    <t>бит 5</t>
  </si>
  <si>
    <t>бит 6</t>
  </si>
  <si>
    <t>бит 7</t>
  </si>
  <si>
    <t>бит 8</t>
  </si>
  <si>
    <t>cᵢ</t>
  </si>
  <si>
    <t>Таблица 9. Расшифрование: c'ᵢ = (cᵢ · n⁻¹) mod m, далее разложение по сверхвозрастающему ключу</t>
  </si>
  <si>
    <t>c'ᵢ</t>
  </si>
  <si>
    <t>b(k=151)</t>
  </si>
  <si>
    <t>b(k=75)</t>
  </si>
  <si>
    <t>b(k=37)</t>
  </si>
  <si>
    <t>b(k=18)</t>
  </si>
  <si>
    <t>b(k=9)</t>
  </si>
  <si>
    <t>b(k=4)</t>
  </si>
  <si>
    <t>b(k=2)</t>
  </si>
  <si>
    <t>b(k=1)</t>
  </si>
  <si>
    <t>Симв.</t>
  </si>
  <si>
    <t>Вывод: расшифрованное сообщение совпадает с исходным «ЩУРОВ» — алгоритм на основе задачи об укладке ранца отработал корректно.</t>
  </si>
  <si>
    <t>3. Шифрование фамилии «ЩУРОВ» по алгоритму Эль-Гамаля</t>
  </si>
  <si>
    <t>Таблица 10. Параметры и генерация ключей</t>
  </si>
  <si>
    <t>Пояснение</t>
  </si>
  <si>
    <t>Простое число</t>
  </si>
  <si>
    <t>p &gt; max(T) = 27</t>
  </si>
  <si>
    <t>Первообразный корень по модулю p</t>
  </si>
  <si>
    <t>g</t>
  </si>
  <si>
    <t>порядок g по модулю p равен p−1 = 36</t>
  </si>
  <si>
    <t>Закрытый ключ</t>
  </si>
  <si>
    <t>x</t>
  </si>
  <si>
    <t>x &lt; p</t>
  </si>
  <si>
    <t>Часть открытого ключа</t>
  </si>
  <si>
    <t>y</t>
  </si>
  <si>
    <t>y = gˣ mod p</t>
  </si>
  <si>
    <t>Случайное число (сеансовый ключ)</t>
  </si>
  <si>
    <t>k</t>
  </si>
  <si>
    <t>1 &lt; k &lt; p−1; для демонстрации одно значение k используется для всех символов</t>
  </si>
  <si>
    <t>Открытый ключ: (y, g, p);   Закрытый ключ: x</t>
  </si>
  <si>
    <t>Таблица 11. Вспомогательные величины</t>
  </si>
  <si>
    <t>Величина</t>
  </si>
  <si>
    <t>Формула</t>
  </si>
  <si>
    <t>a</t>
  </si>
  <si>
    <t>gᵏ mod p</t>
  </si>
  <si>
    <t>первая часть шифрограммы (одинакова для всех символов)</t>
  </si>
  <si>
    <t>yᵏ mod p</t>
  </si>
  <si>
    <t>множитель для вычисления b = (yᵏ · T) mod p</t>
  </si>
  <si>
    <t>aᵖ⁻¹⁻ˣ mod p  (см. табл. ниже)</t>
  </si>
  <si>
    <t>aᵖ⁻¹⁻ˣ mod p</t>
  </si>
  <si>
    <t>множитель для расшифрования (= (aˣ)⁻¹ mod p — обратное по Ферма)</t>
  </si>
  <si>
    <t>Таблица 11а. Вычисление aᵖ⁻¹⁻ˣ mod p = 17²⁶ mod 37 методом «square-and-multiply»</t>
  </si>
  <si>
    <t>Показатель 26 = 11010₂ (5 бит, от старшего к младшему). На каждом шаге: r = r²·a mod p (если бит=1) или r = r² mod p (если бит=0).</t>
  </si>
  <si>
    <t>r</t>
  </si>
  <si>
    <t>Шаг 0 (инициализация)</t>
  </si>
  <si>
    <t>r = 1</t>
  </si>
  <si>
    <t>Шаг 1 (бит=1)</t>
  </si>
  <si>
    <t>r = r²·a mod p</t>
  </si>
  <si>
    <t>Шаг 2 (бит=1)</t>
  </si>
  <si>
    <t>Шаг 3 (бит=0)</t>
  </si>
  <si>
    <t>r = r² mod p</t>
  </si>
  <si>
    <t>Шаг 4 (бит=1)</t>
  </si>
  <si>
    <t>Шаг 5 (бит=0)</t>
  </si>
  <si>
    <t>Таблица 12. Шифрование: (a, b) = (gᵏ mod p, (yᵏ·T) mod p)</t>
  </si>
  <si>
    <t>Код T (позиция в алфавите)</t>
  </si>
  <si>
    <t>Первая часть: a = gᵏ mod p</t>
  </si>
  <si>
    <t>Вторая часть: b = (yᵏ · T) mod p</t>
  </si>
  <si>
    <t>Таблица 13. Расшифрование: T = (b · aᵖ⁻¹⁻ˣ) mod p</t>
  </si>
  <si>
    <t>Вторая часть шифрограммы, b</t>
  </si>
  <si>
    <t>Расшифрованный T = (b · aᵖ⁻¹⁻ˣ) mod p</t>
  </si>
  <si>
    <t>Восстановленный символ (по номеру в алфавите)</t>
  </si>
  <si>
    <t>Вывод: расшифрованное сообщение совпадает с исходным «ЩУРОВ» — алгоритм Эль-Гамаля отработал корректно.</t>
  </si>
  <si>
    <t>Итоговое сравнение результатов</t>
  </si>
  <si>
    <t>Таблица 14. Итоговое сравнение шифрограмм фамилии «ЩУРОВ» по трём алгоритмам</t>
  </si>
  <si>
    <t>Символ / алгоритм</t>
  </si>
  <si>
    <t>RSA, C = T⁷ mod 143</t>
  </si>
  <si>
    <t>Рюкзак (Win 1251), cᵢ</t>
  </si>
  <si>
    <t>Эль-Гамаль, a</t>
  </si>
  <si>
    <t>Эль-Гамаль, b</t>
  </si>
  <si>
    <t>2. Шифрование по алгоритму на основе задачи об укладке рюкзака (Меркл-Хеллман)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</si>
</sst>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2"/>
      <name val="Times New Roman"/>
      <charset val="1"/>
    </font>
    <font>
      <b/>
      <sz val="14"/>
      <name val="Times New Roman"/>
      <charset val="1"/>
    </font>
    <font>
      <sz val="11"/>
      <name val="Times New Roman"/>
      <charset val="1"/>
    </font>
    <font>
      <i/>
      <sz val="11"/>
      <name val="Times New Roman"/>
      <charset val="1"/>
    </font>
    <font>
      <b/>
      <sz val="11"/>
      <name val="Times New Roman"/>
      <charset val="1"/>
    </font>
    <font>
      <b/>
      <sz val="11"/>
      <color rgb="FF000000"/>
      <name val="Times New Roman"/>
      <charset val="1"/>
    </font>
    <font>
      <sz val="11"/>
      <color rgb="FF000000"/>
      <name val="Times New Roman"/>
      <charset val="1"/>
    </font>
    <font>
      <b/>
      <sz val="11"/>
      <color rgb="FF0000FF"/>
      <name val="Times New Roman"/>
      <charset val="1"/>
    </font>
    <font>
      <b/>
      <sz val="13"/>
      <name val="Times New Roman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4"/>
  <sheetViews>
    <sheetView showGridLines="0" topLeftCell="A14" zoomScaleNormal="100" workbookViewId="0">
      <selection activeCell="A9" sqref="A9:J9"/>
    </sheetView>
  </sheetViews>
  <sheetFormatPr defaultColWidth="8.6640625" defaultRowHeight="14.4" x14ac:dyDescent="0.3"/>
  <cols>
    <col min="1" max="1" width="14" customWidth="1"/>
    <col min="2" max="2" width="10" customWidth="1"/>
    <col min="3" max="3" width="14" customWidth="1"/>
    <col min="4" max="5" width="10" customWidth="1"/>
    <col min="6" max="6" width="14" customWidth="1"/>
    <col min="7" max="8" width="10" customWidth="1"/>
    <col min="9" max="9" width="14" customWidth="1"/>
    <col min="10" max="10" width="10" customWidth="1"/>
  </cols>
  <sheetData>
    <row r="1" spans="1:10" ht="15" customHeight="1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1.75" customHeight="1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4" spans="1:10" ht="15" customHeight="1" x14ac:dyDescent="0.3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</row>
    <row r="5" spans="1:10" ht="33.75" customHeight="1" x14ac:dyDescent="0.3">
      <c r="A5" s="20" t="s">
        <v>3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18" customHeight="1" x14ac:dyDescent="0.3">
      <c r="A6" s="20" t="s">
        <v>4</v>
      </c>
      <c r="B6" s="20"/>
      <c r="C6" s="20"/>
      <c r="D6" s="20"/>
      <c r="E6" s="20"/>
      <c r="F6" s="20"/>
      <c r="G6" s="20"/>
      <c r="H6" s="20"/>
      <c r="I6" s="20"/>
      <c r="J6" s="20"/>
    </row>
    <row r="7" spans="1:10" ht="18" customHeight="1" x14ac:dyDescent="0.3">
      <c r="A7" s="20" t="s">
        <v>5</v>
      </c>
      <c r="B7" s="20"/>
      <c r="C7" s="20"/>
      <c r="D7" s="20"/>
      <c r="E7" s="20"/>
      <c r="F7" s="20"/>
      <c r="G7" s="20"/>
      <c r="H7" s="20"/>
      <c r="I7" s="20"/>
      <c r="J7" s="20"/>
    </row>
    <row r="8" spans="1:10" ht="18" customHeight="1" x14ac:dyDescent="0.3">
      <c r="A8" s="20" t="s">
        <v>6</v>
      </c>
      <c r="B8" s="20"/>
      <c r="C8" s="20"/>
      <c r="D8" s="20"/>
      <c r="E8" s="20"/>
      <c r="F8" s="20"/>
      <c r="G8" s="20"/>
      <c r="H8" s="20"/>
      <c r="I8" s="20"/>
      <c r="J8" s="20"/>
    </row>
    <row r="9" spans="1:10" ht="33.75" customHeight="1" x14ac:dyDescent="0.3">
      <c r="A9" s="20" t="s">
        <v>7</v>
      </c>
      <c r="B9" s="20"/>
      <c r="C9" s="20"/>
      <c r="D9" s="20"/>
      <c r="E9" s="20"/>
      <c r="F9" s="20"/>
      <c r="G9" s="20"/>
      <c r="H9" s="20"/>
      <c r="I9" s="20"/>
      <c r="J9" s="20"/>
    </row>
    <row r="11" spans="1:10" ht="15" customHeight="1" x14ac:dyDescent="0.3">
      <c r="A11" s="13" t="s">
        <v>8</v>
      </c>
      <c r="B11" s="13"/>
      <c r="C11" s="13"/>
      <c r="D11" s="13"/>
      <c r="E11" s="13"/>
      <c r="F11" s="13"/>
      <c r="G11" s="13"/>
      <c r="H11" s="13"/>
      <c r="I11" s="13"/>
    </row>
    <row r="12" spans="1:10" x14ac:dyDescent="0.3">
      <c r="A12" s="4" t="s">
        <v>9</v>
      </c>
      <c r="B12" s="4" t="s">
        <v>10</v>
      </c>
      <c r="C12" s="4" t="s">
        <v>11</v>
      </c>
      <c r="D12" s="4" t="s">
        <v>9</v>
      </c>
      <c r="E12" s="4" t="s">
        <v>10</v>
      </c>
      <c r="F12" s="4" t="s">
        <v>11</v>
      </c>
      <c r="G12" s="4" t="s">
        <v>9</v>
      </c>
      <c r="H12" s="4" t="s">
        <v>10</v>
      </c>
      <c r="I12" s="4" t="s">
        <v>11</v>
      </c>
    </row>
    <row r="13" spans="1:10" x14ac:dyDescent="0.3">
      <c r="A13" s="5" t="s">
        <v>12</v>
      </c>
      <c r="B13" s="6">
        <v>192</v>
      </c>
      <c r="C13" s="6" t="s">
        <v>13</v>
      </c>
      <c r="D13" s="5" t="s">
        <v>14</v>
      </c>
      <c r="E13" s="6">
        <v>203</v>
      </c>
      <c r="F13" s="6" t="s">
        <v>15</v>
      </c>
      <c r="G13" s="5" t="s">
        <v>16</v>
      </c>
      <c r="H13" s="6">
        <v>214</v>
      </c>
      <c r="I13" s="6" t="s">
        <v>17</v>
      </c>
    </row>
    <row r="14" spans="1:10" x14ac:dyDescent="0.3">
      <c r="A14" s="5" t="s">
        <v>18</v>
      </c>
      <c r="B14" s="6">
        <v>193</v>
      </c>
      <c r="C14" s="6" t="s">
        <v>19</v>
      </c>
      <c r="D14" s="5" t="s">
        <v>20</v>
      </c>
      <c r="E14" s="6">
        <v>204</v>
      </c>
      <c r="F14" s="6" t="s">
        <v>21</v>
      </c>
      <c r="G14" s="5" t="s">
        <v>22</v>
      </c>
      <c r="H14" s="6">
        <v>215</v>
      </c>
      <c r="I14" s="6" t="s">
        <v>23</v>
      </c>
    </row>
    <row r="15" spans="1:10" x14ac:dyDescent="0.3">
      <c r="A15" s="5" t="s">
        <v>24</v>
      </c>
      <c r="B15" s="6">
        <v>194</v>
      </c>
      <c r="C15" s="6" t="s">
        <v>25</v>
      </c>
      <c r="D15" s="5" t="s">
        <v>26</v>
      </c>
      <c r="E15" s="6">
        <v>205</v>
      </c>
      <c r="F15" s="6" t="s">
        <v>27</v>
      </c>
      <c r="G15" s="5" t="s">
        <v>28</v>
      </c>
      <c r="H15" s="6">
        <v>216</v>
      </c>
      <c r="I15" s="6" t="s">
        <v>29</v>
      </c>
    </row>
    <row r="16" spans="1:10" x14ac:dyDescent="0.3">
      <c r="A16" s="5" t="s">
        <v>30</v>
      </c>
      <c r="B16" s="6">
        <v>195</v>
      </c>
      <c r="C16" s="6" t="s">
        <v>31</v>
      </c>
      <c r="D16" s="5" t="s">
        <v>32</v>
      </c>
      <c r="E16" s="6">
        <v>206</v>
      </c>
      <c r="F16" s="6" t="s">
        <v>33</v>
      </c>
      <c r="G16" s="5" t="s">
        <v>34</v>
      </c>
      <c r="H16" s="6">
        <v>217</v>
      </c>
      <c r="I16" s="6" t="s">
        <v>35</v>
      </c>
    </row>
    <row r="17" spans="1:10" x14ac:dyDescent="0.3">
      <c r="A17" s="5" t="s">
        <v>36</v>
      </c>
      <c r="B17" s="6">
        <v>196</v>
      </c>
      <c r="C17" s="6" t="s">
        <v>37</v>
      </c>
      <c r="D17" s="5" t="s">
        <v>38</v>
      </c>
      <c r="E17" s="6">
        <v>207</v>
      </c>
      <c r="F17" s="6" t="s">
        <v>39</v>
      </c>
      <c r="G17" s="5" t="s">
        <v>40</v>
      </c>
      <c r="H17" s="6">
        <v>218</v>
      </c>
      <c r="I17" s="6" t="s">
        <v>41</v>
      </c>
    </row>
    <row r="18" spans="1:10" x14ac:dyDescent="0.3">
      <c r="A18" s="5" t="s">
        <v>42</v>
      </c>
      <c r="B18" s="6">
        <v>197</v>
      </c>
      <c r="C18" s="6" t="s">
        <v>43</v>
      </c>
      <c r="D18" s="5" t="s">
        <v>44</v>
      </c>
      <c r="E18" s="6">
        <v>208</v>
      </c>
      <c r="F18" s="6" t="s">
        <v>45</v>
      </c>
      <c r="G18" s="5" t="s">
        <v>46</v>
      </c>
      <c r="H18" s="6">
        <v>219</v>
      </c>
      <c r="I18" s="6" t="s">
        <v>47</v>
      </c>
    </row>
    <row r="19" spans="1:10" x14ac:dyDescent="0.3">
      <c r="A19" s="5" t="s">
        <v>48</v>
      </c>
      <c r="B19" s="6">
        <v>198</v>
      </c>
      <c r="C19" s="6" t="s">
        <v>49</v>
      </c>
      <c r="D19" s="5" t="s">
        <v>50</v>
      </c>
      <c r="E19" s="6">
        <v>209</v>
      </c>
      <c r="F19" s="6" t="s">
        <v>51</v>
      </c>
      <c r="G19" s="5" t="s">
        <v>52</v>
      </c>
      <c r="H19" s="6">
        <v>220</v>
      </c>
      <c r="I19" s="6" t="s">
        <v>53</v>
      </c>
    </row>
    <row r="20" spans="1:10" x14ac:dyDescent="0.3">
      <c r="A20" s="5" t="s">
        <v>54</v>
      </c>
      <c r="B20" s="6">
        <v>199</v>
      </c>
      <c r="C20" s="6" t="s">
        <v>55</v>
      </c>
      <c r="D20" s="5" t="s">
        <v>56</v>
      </c>
      <c r="E20" s="6">
        <v>210</v>
      </c>
      <c r="F20" s="6" t="s">
        <v>57</v>
      </c>
      <c r="G20" s="5" t="s">
        <v>58</v>
      </c>
      <c r="H20" s="6">
        <v>221</v>
      </c>
      <c r="I20" s="6" t="s">
        <v>59</v>
      </c>
    </row>
    <row r="21" spans="1:10" x14ac:dyDescent="0.3">
      <c r="A21" s="5" t="s">
        <v>60</v>
      </c>
      <c r="B21" s="6">
        <v>200</v>
      </c>
      <c r="C21" s="6" t="s">
        <v>61</v>
      </c>
      <c r="D21" s="5" t="s">
        <v>62</v>
      </c>
      <c r="E21" s="6">
        <v>211</v>
      </c>
      <c r="F21" s="6" t="s">
        <v>63</v>
      </c>
      <c r="G21" s="5" t="s">
        <v>64</v>
      </c>
      <c r="H21" s="6">
        <v>222</v>
      </c>
      <c r="I21" s="6" t="s">
        <v>65</v>
      </c>
    </row>
    <row r="22" spans="1:10" x14ac:dyDescent="0.3">
      <c r="A22" s="5" t="s">
        <v>66</v>
      </c>
      <c r="B22" s="6">
        <v>201</v>
      </c>
      <c r="C22" s="6" t="s">
        <v>67</v>
      </c>
      <c r="D22" s="5" t="s">
        <v>68</v>
      </c>
      <c r="E22" s="6">
        <v>212</v>
      </c>
      <c r="F22" s="6" t="s">
        <v>69</v>
      </c>
      <c r="G22" s="5" t="s">
        <v>70</v>
      </c>
      <c r="H22" s="6">
        <v>223</v>
      </c>
      <c r="I22" s="6" t="s">
        <v>71</v>
      </c>
    </row>
    <row r="23" spans="1:10" x14ac:dyDescent="0.3">
      <c r="A23" s="5" t="s">
        <v>72</v>
      </c>
      <c r="B23" s="6">
        <v>202</v>
      </c>
      <c r="C23" s="6" t="s">
        <v>73</v>
      </c>
      <c r="D23" s="5" t="s">
        <v>74</v>
      </c>
      <c r="E23" s="6">
        <v>213</v>
      </c>
      <c r="F23" s="6" t="s">
        <v>75</v>
      </c>
      <c r="G23" s="5"/>
      <c r="H23" s="6"/>
      <c r="I23" s="6"/>
    </row>
    <row r="25" spans="1:10" ht="15" customHeight="1" x14ac:dyDescent="0.3">
      <c r="A25" s="14" t="s">
        <v>76</v>
      </c>
      <c r="B25" s="14"/>
      <c r="C25" s="14"/>
      <c r="D25" s="14"/>
      <c r="E25" s="14"/>
      <c r="F25" s="14"/>
      <c r="G25" s="14"/>
      <c r="H25" s="14"/>
      <c r="I25" s="14"/>
      <c r="J25" s="14"/>
    </row>
    <row r="27" spans="1:10" ht="15" customHeight="1" x14ac:dyDescent="0.3">
      <c r="A27" s="18" t="s">
        <v>77</v>
      </c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" customHeight="1" x14ac:dyDescent="0.3">
      <c r="A28" s="19" t="s">
        <v>78</v>
      </c>
      <c r="B28" s="19"/>
      <c r="C28" s="19"/>
      <c r="D28" s="19"/>
      <c r="E28" s="19"/>
      <c r="F28" s="19"/>
      <c r="G28" s="19"/>
      <c r="H28" s="19"/>
      <c r="I28" s="19"/>
      <c r="J28" s="19"/>
    </row>
    <row r="30" spans="1:10" ht="15" customHeight="1" x14ac:dyDescent="0.3">
      <c r="A30" s="13" t="s">
        <v>79</v>
      </c>
      <c r="B30" s="13"/>
      <c r="C30" s="13"/>
      <c r="D30" s="13"/>
      <c r="E30" s="13"/>
      <c r="F30" s="13"/>
    </row>
    <row r="31" spans="1:10" x14ac:dyDescent="0.3">
      <c r="A31" s="4" t="s">
        <v>80</v>
      </c>
      <c r="B31" s="4" t="s">
        <v>34</v>
      </c>
      <c r="C31" s="4" t="s">
        <v>62</v>
      </c>
      <c r="D31" s="4" t="s">
        <v>44</v>
      </c>
      <c r="E31" s="4" t="s">
        <v>32</v>
      </c>
      <c r="F31" s="4" t="s">
        <v>24</v>
      </c>
    </row>
    <row r="32" spans="1:10" ht="27.6" x14ac:dyDescent="0.3">
      <c r="A32" s="7" t="s">
        <v>81</v>
      </c>
      <c r="B32" s="8">
        <v>27</v>
      </c>
      <c r="C32" s="8">
        <v>21</v>
      </c>
      <c r="D32" s="8">
        <v>18</v>
      </c>
      <c r="E32" s="8">
        <v>16</v>
      </c>
      <c r="F32" s="8">
        <v>3</v>
      </c>
    </row>
    <row r="33" spans="1:6" ht="27.6" x14ac:dyDescent="0.3">
      <c r="A33" s="7" t="s">
        <v>82</v>
      </c>
      <c r="B33" s="8">
        <v>217</v>
      </c>
      <c r="C33" s="8">
        <v>211</v>
      </c>
      <c r="D33" s="8">
        <v>208</v>
      </c>
      <c r="E33" s="8">
        <v>206</v>
      </c>
      <c r="F33" s="8">
        <v>194</v>
      </c>
    </row>
    <row r="34" spans="1:6" ht="27.6" x14ac:dyDescent="0.3">
      <c r="A34" s="7" t="s">
        <v>83</v>
      </c>
      <c r="B34" s="8" t="s">
        <v>35</v>
      </c>
      <c r="C34" s="8" t="s">
        <v>63</v>
      </c>
      <c r="D34" s="8" t="s">
        <v>45</v>
      </c>
      <c r="E34" s="8" t="s">
        <v>33</v>
      </c>
      <c r="F34" s="8" t="s">
        <v>25</v>
      </c>
    </row>
  </sheetData>
  <mergeCells count="13">
    <mergeCell ref="A1:J1"/>
    <mergeCell ref="A2:J2"/>
    <mergeCell ref="A4:J4"/>
    <mergeCell ref="A5:J5"/>
    <mergeCell ref="A6:J6"/>
    <mergeCell ref="A27:J27"/>
    <mergeCell ref="A28:J28"/>
    <mergeCell ref="A30:F30"/>
    <mergeCell ref="A7:J7"/>
    <mergeCell ref="A8:J8"/>
    <mergeCell ref="A9:J9"/>
    <mergeCell ref="A11:I11"/>
    <mergeCell ref="A25:J25"/>
  </mergeCells>
  <printOptions horizontalCentered="1"/>
  <pageMargins left="0.5" right="0.5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0"/>
  <sheetViews>
    <sheetView showGridLines="0" zoomScaleNormal="100" workbookViewId="0">
      <selection activeCell="B42" sqref="B42"/>
    </sheetView>
  </sheetViews>
  <sheetFormatPr defaultColWidth="8.6640625" defaultRowHeight="14.4" x14ac:dyDescent="0.3"/>
  <cols>
    <col min="1" max="1" width="34" customWidth="1"/>
    <col min="2" max="6" width="12" customWidth="1"/>
    <col min="7" max="7" width="14" customWidth="1"/>
  </cols>
  <sheetData>
    <row r="1" spans="1:7" ht="21.75" customHeight="1" x14ac:dyDescent="0.3">
      <c r="A1" s="16" t="s">
        <v>84</v>
      </c>
      <c r="B1" s="16"/>
      <c r="C1" s="16"/>
      <c r="D1" s="16"/>
      <c r="E1" s="16"/>
      <c r="F1" s="16"/>
      <c r="G1" s="16"/>
    </row>
    <row r="3" spans="1:7" ht="15" customHeight="1" x14ac:dyDescent="0.3">
      <c r="A3" s="13" t="s">
        <v>85</v>
      </c>
      <c r="B3" s="13"/>
      <c r="C3" s="13"/>
      <c r="D3" s="13"/>
      <c r="E3" s="13"/>
      <c r="F3" s="13"/>
      <c r="G3" s="13"/>
    </row>
    <row r="4" spans="1:7" ht="15" customHeight="1" x14ac:dyDescent="0.3">
      <c r="A4" s="4" t="s">
        <v>86</v>
      </c>
      <c r="B4" s="4" t="s">
        <v>87</v>
      </c>
      <c r="C4" s="4" t="s">
        <v>88</v>
      </c>
      <c r="D4" s="17" t="s">
        <v>89</v>
      </c>
      <c r="E4" s="17"/>
      <c r="F4" s="17"/>
      <c r="G4" s="17"/>
    </row>
    <row r="5" spans="1:7" ht="15" customHeight="1" x14ac:dyDescent="0.3">
      <c r="A5" s="9" t="s">
        <v>90</v>
      </c>
      <c r="B5" s="7" t="s">
        <v>91</v>
      </c>
      <c r="C5" s="8">
        <v>11</v>
      </c>
      <c r="D5" s="15" t="s">
        <v>92</v>
      </c>
      <c r="E5" s="15"/>
      <c r="F5" s="15"/>
      <c r="G5" s="15"/>
    </row>
    <row r="6" spans="1:7" ht="15" customHeight="1" x14ac:dyDescent="0.3">
      <c r="A6" s="9" t="s">
        <v>93</v>
      </c>
      <c r="B6" s="7" t="s">
        <v>94</v>
      </c>
      <c r="C6" s="8">
        <v>13</v>
      </c>
      <c r="D6" s="15" t="s">
        <v>92</v>
      </c>
      <c r="E6" s="15"/>
      <c r="F6" s="15"/>
      <c r="G6" s="15"/>
    </row>
    <row r="7" spans="1:7" ht="15" customHeight="1" x14ac:dyDescent="0.3">
      <c r="A7" s="9" t="s">
        <v>95</v>
      </c>
      <c r="B7" s="7" t="s">
        <v>96</v>
      </c>
      <c r="C7" s="5">
        <f>C5*C6</f>
        <v>143</v>
      </c>
      <c r="D7" s="15" t="s">
        <v>97</v>
      </c>
      <c r="E7" s="15"/>
      <c r="F7" s="15"/>
      <c r="G7" s="15"/>
    </row>
    <row r="8" spans="1:7" ht="15" customHeight="1" x14ac:dyDescent="0.3">
      <c r="A8" s="9" t="s">
        <v>98</v>
      </c>
      <c r="B8" s="7" t="s">
        <v>99</v>
      </c>
      <c r="C8" s="5">
        <f>(C5-1)*(C6-1)</f>
        <v>120</v>
      </c>
      <c r="D8" s="15" t="s">
        <v>100</v>
      </c>
      <c r="E8" s="15"/>
      <c r="F8" s="15"/>
      <c r="G8" s="15"/>
    </row>
    <row r="9" spans="1:7" ht="15" customHeight="1" x14ac:dyDescent="0.3">
      <c r="A9" s="9" t="s">
        <v>101</v>
      </c>
      <c r="B9" s="7" t="s">
        <v>102</v>
      </c>
      <c r="C9" s="8">
        <v>7</v>
      </c>
      <c r="D9" s="15" t="s">
        <v>103</v>
      </c>
      <c r="E9" s="15"/>
      <c r="F9" s="15"/>
      <c r="G9" s="15"/>
    </row>
    <row r="10" spans="1:7" ht="25.35" customHeight="1" x14ac:dyDescent="0.3">
      <c r="A10" s="9" t="s">
        <v>104</v>
      </c>
      <c r="B10" s="7" t="s">
        <v>105</v>
      </c>
      <c r="C10" s="8">
        <v>103</v>
      </c>
      <c r="D10" s="15" t="s">
        <v>106</v>
      </c>
      <c r="E10" s="15"/>
      <c r="F10" s="15"/>
      <c r="G10" s="15"/>
    </row>
    <row r="11" spans="1:7" ht="15" customHeight="1" x14ac:dyDescent="0.3">
      <c r="A11" s="9" t="s">
        <v>107</v>
      </c>
      <c r="B11" s="7" t="s">
        <v>108</v>
      </c>
      <c r="C11" s="5">
        <f>MOD(C9*C10,C8)</f>
        <v>1</v>
      </c>
      <c r="D11" s="15" t="s">
        <v>109</v>
      </c>
      <c r="E11" s="15"/>
      <c r="F11" s="15"/>
      <c r="G11" s="15"/>
    </row>
    <row r="13" spans="1:7" ht="15" customHeight="1" x14ac:dyDescent="0.3">
      <c r="A13" s="26" t="s">
        <v>110</v>
      </c>
      <c r="B13" s="26"/>
      <c r="C13" s="26"/>
      <c r="D13" s="26"/>
      <c r="E13" s="26"/>
      <c r="F13" s="26"/>
      <c r="G13" s="26"/>
    </row>
    <row r="15" spans="1:7" ht="15" customHeight="1" x14ac:dyDescent="0.3">
      <c r="A15" s="13" t="s">
        <v>111</v>
      </c>
      <c r="B15" s="13"/>
      <c r="C15" s="13"/>
      <c r="D15" s="13"/>
      <c r="E15" s="13"/>
      <c r="F15" s="13"/>
      <c r="G15" s="13"/>
    </row>
    <row r="16" spans="1:7" ht="27.75" customHeight="1" x14ac:dyDescent="0.3">
      <c r="A16" s="14" t="s">
        <v>112</v>
      </c>
      <c r="B16" s="14"/>
      <c r="C16" s="14"/>
      <c r="D16" s="14"/>
      <c r="E16" s="14"/>
      <c r="F16" s="14"/>
      <c r="G16" s="14"/>
    </row>
    <row r="17" spans="1:7" x14ac:dyDescent="0.3">
      <c r="A17" s="4" t="s">
        <v>113</v>
      </c>
      <c r="B17" s="4" t="s">
        <v>114</v>
      </c>
      <c r="C17" s="4" t="s">
        <v>34</v>
      </c>
      <c r="D17" s="4" t="s">
        <v>62</v>
      </c>
      <c r="E17" s="4" t="s">
        <v>44</v>
      </c>
      <c r="F17" s="4" t="s">
        <v>32</v>
      </c>
      <c r="G17" s="4" t="s">
        <v>24</v>
      </c>
    </row>
    <row r="18" spans="1:7" ht="15" customHeight="1" x14ac:dyDescent="0.3">
      <c r="A18" s="24" t="s">
        <v>115</v>
      </c>
      <c r="B18" s="24"/>
      <c r="C18" s="8">
        <v>27</v>
      </c>
      <c r="D18" s="8">
        <v>21</v>
      </c>
      <c r="E18" s="8">
        <v>18</v>
      </c>
      <c r="F18" s="8">
        <v>16</v>
      </c>
      <c r="G18" s="8">
        <v>3</v>
      </c>
    </row>
    <row r="19" spans="1:7" ht="15" customHeight="1" x14ac:dyDescent="0.3">
      <c r="A19" s="25" t="s">
        <v>116</v>
      </c>
      <c r="B19" s="25"/>
      <c r="C19" s="6">
        <v>1</v>
      </c>
      <c r="D19" s="6">
        <v>1</v>
      </c>
      <c r="E19" s="6">
        <v>1</v>
      </c>
      <c r="F19" s="6">
        <v>1</v>
      </c>
      <c r="G19" s="6">
        <v>1</v>
      </c>
    </row>
    <row r="20" spans="1:7" ht="15" customHeight="1" x14ac:dyDescent="0.3">
      <c r="A20" s="24" t="s">
        <v>117</v>
      </c>
      <c r="B20" s="24"/>
      <c r="C20" s="6">
        <f>MOD(C19^2*C18,RSA!C7)</f>
        <v>27</v>
      </c>
      <c r="D20" s="6">
        <f>MOD(D19^2*D18,RSA!C7)</f>
        <v>21</v>
      </c>
      <c r="E20" s="6">
        <f>MOD(E19^2*E18,RSA!C7)</f>
        <v>18</v>
      </c>
      <c r="F20" s="6">
        <f>MOD(F19^2*F18,RSA!C7)</f>
        <v>16</v>
      </c>
      <c r="G20" s="6">
        <f>MOD(G19^2*G18,RSA!C7)</f>
        <v>3</v>
      </c>
    </row>
    <row r="21" spans="1:7" ht="15" customHeight="1" x14ac:dyDescent="0.3">
      <c r="A21" s="24" t="s">
        <v>118</v>
      </c>
      <c r="B21" s="24"/>
      <c r="C21" s="6">
        <f>MOD(C20^2*C18,RSA!C7)</f>
        <v>92</v>
      </c>
      <c r="D21" s="6">
        <f>MOD(D20^2*D18,RSA!C7)</f>
        <v>109</v>
      </c>
      <c r="E21" s="6">
        <f>MOD(E20^2*E18,RSA!C7)</f>
        <v>112</v>
      </c>
      <c r="F21" s="6">
        <f>MOD(F20^2*F18,RSA!C7)</f>
        <v>92</v>
      </c>
      <c r="G21" s="6">
        <f>MOD(G20^2*G18,RSA!C7)</f>
        <v>27</v>
      </c>
    </row>
    <row r="22" spans="1:7" ht="15" customHeight="1" x14ac:dyDescent="0.3">
      <c r="A22" s="24" t="s">
        <v>119</v>
      </c>
      <c r="B22" s="24"/>
      <c r="C22" s="6">
        <f>MOD(C21^2*C18,RSA!C7)</f>
        <v>14</v>
      </c>
      <c r="D22" s="6">
        <f>MOD(D21^2*D18,RSA!C7)</f>
        <v>109</v>
      </c>
      <c r="E22" s="6">
        <f>MOD(E21^2*E18,RSA!C7)</f>
        <v>138</v>
      </c>
      <c r="F22" s="6">
        <f>MOD(F21^2*F18,RSA!C7)</f>
        <v>3</v>
      </c>
      <c r="G22" s="6">
        <f>MOD(G21^2*G18,RSA!C7)</f>
        <v>42</v>
      </c>
    </row>
    <row r="23" spans="1:7" ht="15" customHeight="1" x14ac:dyDescent="0.3">
      <c r="A23" s="23" t="s">
        <v>120</v>
      </c>
      <c r="B23" s="23"/>
      <c r="C23" s="10">
        <f>C22</f>
        <v>14</v>
      </c>
      <c r="D23" s="10">
        <f>D22</f>
        <v>109</v>
      </c>
      <c r="E23" s="10">
        <f>E22</f>
        <v>138</v>
      </c>
      <c r="F23" s="10">
        <f>F22</f>
        <v>3</v>
      </c>
      <c r="G23" s="10">
        <f>G22</f>
        <v>42</v>
      </c>
    </row>
    <row r="25" spans="1:7" ht="15" customHeight="1" x14ac:dyDescent="0.3">
      <c r="A25" s="13" t="s">
        <v>121</v>
      </c>
      <c r="B25" s="13"/>
      <c r="C25" s="13"/>
      <c r="D25" s="13"/>
      <c r="E25" s="13"/>
      <c r="F25" s="13"/>
      <c r="G25" s="13"/>
    </row>
    <row r="26" spans="1:7" ht="27.75" customHeight="1" x14ac:dyDescent="0.3">
      <c r="A26" s="14" t="s">
        <v>122</v>
      </c>
      <c r="B26" s="14"/>
      <c r="C26" s="14"/>
      <c r="D26" s="14"/>
      <c r="E26" s="14"/>
      <c r="F26" s="14"/>
      <c r="G26" s="14"/>
    </row>
    <row r="27" spans="1:7" x14ac:dyDescent="0.3">
      <c r="A27" s="4" t="s">
        <v>113</v>
      </c>
      <c r="B27" s="4" t="s">
        <v>114</v>
      </c>
      <c r="C27" s="4" t="s">
        <v>34</v>
      </c>
      <c r="D27" s="4" t="s">
        <v>62</v>
      </c>
      <c r="E27" s="4" t="s">
        <v>44</v>
      </c>
      <c r="F27" s="4" t="s">
        <v>32</v>
      </c>
      <c r="G27" s="4" t="s">
        <v>24</v>
      </c>
    </row>
    <row r="28" spans="1:7" ht="15" customHeight="1" x14ac:dyDescent="0.3">
      <c r="A28" s="24" t="s">
        <v>123</v>
      </c>
      <c r="B28" s="24"/>
      <c r="C28" s="6">
        <f>C23</f>
        <v>14</v>
      </c>
      <c r="D28" s="6">
        <f>D23</f>
        <v>109</v>
      </c>
      <c r="E28" s="6">
        <f>E23</f>
        <v>138</v>
      </c>
      <c r="F28" s="6">
        <f>F23</f>
        <v>3</v>
      </c>
      <c r="G28" s="6">
        <f>G23</f>
        <v>42</v>
      </c>
    </row>
    <row r="29" spans="1:7" ht="15" customHeight="1" x14ac:dyDescent="0.3">
      <c r="A29" s="25" t="s">
        <v>116</v>
      </c>
      <c r="B29" s="25"/>
      <c r="C29" s="6">
        <v>1</v>
      </c>
      <c r="D29" s="6">
        <v>1</v>
      </c>
      <c r="E29" s="6">
        <v>1</v>
      </c>
      <c r="F29" s="6">
        <v>1</v>
      </c>
      <c r="G29" s="6">
        <v>1</v>
      </c>
    </row>
    <row r="30" spans="1:7" ht="15" customHeight="1" x14ac:dyDescent="0.3">
      <c r="A30" s="24" t="s">
        <v>124</v>
      </c>
      <c r="B30" s="24"/>
      <c r="C30" s="6">
        <f>MOD(C29^2*C28,RSA!C7)</f>
        <v>14</v>
      </c>
      <c r="D30" s="6">
        <f>MOD(D29^2*D28,RSA!C7)</f>
        <v>109</v>
      </c>
      <c r="E30" s="6">
        <f>MOD(E29^2*E28,RSA!C7)</f>
        <v>138</v>
      </c>
      <c r="F30" s="6">
        <f>MOD(F29^2*F28,RSA!C7)</f>
        <v>3</v>
      </c>
      <c r="G30" s="6">
        <f>MOD(G29^2*G28,RSA!C7)</f>
        <v>42</v>
      </c>
    </row>
    <row r="31" spans="1:7" ht="15" customHeight="1" x14ac:dyDescent="0.3">
      <c r="A31" s="24" t="s">
        <v>125</v>
      </c>
      <c r="B31" s="24"/>
      <c r="C31" s="6">
        <f>MOD(C30^2*C28,RSA!C7)</f>
        <v>27</v>
      </c>
      <c r="D31" s="6">
        <f>MOD(D30^2*D28,RSA!C7)</f>
        <v>21</v>
      </c>
      <c r="E31" s="6">
        <f>MOD(E30^2*E28,RSA!C7)</f>
        <v>18</v>
      </c>
      <c r="F31" s="6">
        <f>MOD(F30^2*F28,RSA!C7)</f>
        <v>27</v>
      </c>
      <c r="G31" s="6">
        <f>MOD(G30^2*G28,RSA!C7)</f>
        <v>14</v>
      </c>
    </row>
    <row r="32" spans="1:7" ht="15" customHeight="1" x14ac:dyDescent="0.3">
      <c r="A32" s="24" t="s">
        <v>126</v>
      </c>
      <c r="B32" s="24"/>
      <c r="C32" s="6">
        <f>MOD(C31^2,RSA!C7)</f>
        <v>14</v>
      </c>
      <c r="D32" s="6">
        <f>MOD(D31^2,RSA!C7)</f>
        <v>12</v>
      </c>
      <c r="E32" s="6">
        <f>MOD(E31^2,RSA!C7)</f>
        <v>38</v>
      </c>
      <c r="F32" s="6">
        <f>MOD(F31^2,RSA!C7)</f>
        <v>14</v>
      </c>
      <c r="G32" s="6">
        <f>MOD(G31^2,RSA!C7)</f>
        <v>53</v>
      </c>
    </row>
    <row r="33" spans="1:7" ht="15" customHeight="1" x14ac:dyDescent="0.3">
      <c r="A33" s="24" t="s">
        <v>127</v>
      </c>
      <c r="B33" s="24"/>
      <c r="C33" s="6">
        <f>MOD(C32^2,RSA!C7)</f>
        <v>53</v>
      </c>
      <c r="D33" s="6">
        <f>MOD(D32^2,RSA!C7)</f>
        <v>1</v>
      </c>
      <c r="E33" s="6">
        <f>MOD(E32^2,RSA!C7)</f>
        <v>14</v>
      </c>
      <c r="F33" s="6">
        <f>MOD(F32^2,RSA!C7)</f>
        <v>53</v>
      </c>
      <c r="G33" s="6">
        <f>MOD(G32^2,RSA!C7)</f>
        <v>92</v>
      </c>
    </row>
    <row r="34" spans="1:7" ht="15" customHeight="1" x14ac:dyDescent="0.3">
      <c r="A34" s="24" t="s">
        <v>128</v>
      </c>
      <c r="B34" s="24"/>
      <c r="C34" s="6">
        <f>MOD(C33^2*C28,RSA!C7)</f>
        <v>1</v>
      </c>
      <c r="D34" s="6">
        <f>MOD(D33^2*D28,RSA!C7)</f>
        <v>109</v>
      </c>
      <c r="E34" s="6">
        <f>MOD(E33^2*E28,RSA!C7)</f>
        <v>21</v>
      </c>
      <c r="F34" s="6">
        <f>MOD(F33^2*F28,RSA!C7)</f>
        <v>133</v>
      </c>
      <c r="G34" s="6">
        <f>MOD(G33^2*G28,RSA!C7)</f>
        <v>133</v>
      </c>
    </row>
    <row r="35" spans="1:7" ht="15" customHeight="1" x14ac:dyDescent="0.3">
      <c r="A35" s="24" t="s">
        <v>129</v>
      </c>
      <c r="B35" s="24"/>
      <c r="C35" s="6">
        <f>MOD(C34^2*C28,RSA!C7)</f>
        <v>14</v>
      </c>
      <c r="D35" s="6">
        <f>MOD(D34^2*D28,RSA!C7)</f>
        <v>21</v>
      </c>
      <c r="E35" s="6">
        <f>MOD(E34^2*E28,RSA!C7)</f>
        <v>83</v>
      </c>
      <c r="F35" s="6">
        <f>MOD(F34^2*F28,RSA!C7)</f>
        <v>14</v>
      </c>
      <c r="G35" s="6">
        <f>MOD(G34^2*G28,RSA!C7)</f>
        <v>53</v>
      </c>
    </row>
    <row r="36" spans="1:7" ht="15" customHeight="1" x14ac:dyDescent="0.3">
      <c r="A36" s="24" t="s">
        <v>130</v>
      </c>
      <c r="B36" s="24"/>
      <c r="C36" s="6">
        <f>MOD(C35^2*C28,RSA!C7)</f>
        <v>27</v>
      </c>
      <c r="D36" s="6">
        <f>MOD(D35^2*D28,RSA!C7)</f>
        <v>21</v>
      </c>
      <c r="E36" s="6">
        <f>MOD(E35^2*E28,RSA!C7)</f>
        <v>18</v>
      </c>
      <c r="F36" s="6">
        <f>MOD(F35^2*F28,RSA!C7)</f>
        <v>16</v>
      </c>
      <c r="G36" s="6">
        <f>MOD(G35^2*G28,RSA!C7)</f>
        <v>3</v>
      </c>
    </row>
    <row r="37" spans="1:7" ht="15" customHeight="1" x14ac:dyDescent="0.3">
      <c r="A37" s="23" t="s">
        <v>131</v>
      </c>
      <c r="B37" s="23"/>
      <c r="C37" s="11">
        <f>C36</f>
        <v>27</v>
      </c>
      <c r="D37" s="11">
        <f>D36</f>
        <v>21</v>
      </c>
      <c r="E37" s="11">
        <f>E36</f>
        <v>18</v>
      </c>
      <c r="F37" s="11">
        <f>F36</f>
        <v>16</v>
      </c>
      <c r="G37" s="11">
        <f>G36</f>
        <v>3</v>
      </c>
    </row>
    <row r="38" spans="1:7" ht="15" customHeight="1" x14ac:dyDescent="0.3">
      <c r="A38" s="23" t="s">
        <v>132</v>
      </c>
      <c r="B38" s="23"/>
      <c r="C38" s="5" t="str">
        <f>MID("АБВГДЕЁЖЗИЙКЛМНОПРСТУФХЦЧШЩЪЫЬЭЮЯ",C37,1)</f>
        <v>Щ</v>
      </c>
      <c r="D38" s="5" t="str">
        <f>MID("АБВГДЕЁЖЗИЙКЛМНОПРСТУФХЦЧШЩЪЫЬЭЮЯ",D37,1)</f>
        <v>У</v>
      </c>
      <c r="E38" s="5" t="str">
        <f>MID("АБВГДЕЁЖЗИЙКЛМНОПРСТУФХЦЧШЩЪЫЬЭЮЯ",E37,1)</f>
        <v>Р</v>
      </c>
      <c r="F38" s="5" t="str">
        <f>MID("АБВГДЕЁЖЗИЙКЛМНОПРСТУФХЦЧШЩЪЫЬЭЮЯ",F37,1)</f>
        <v>О</v>
      </c>
      <c r="G38" s="5" t="str">
        <f>MID("АБВГДЕЁЖЗИЙКЛМНОПРСТУФХЦЧШЩЪЫЬЭЮЯ",G37,1)</f>
        <v>В</v>
      </c>
    </row>
    <row r="40" spans="1:7" ht="18" customHeight="1" x14ac:dyDescent="0.3">
      <c r="A40" s="14" t="s">
        <v>133</v>
      </c>
      <c r="B40" s="14"/>
      <c r="C40" s="14"/>
      <c r="D40" s="14"/>
      <c r="E40" s="14"/>
      <c r="F40" s="14"/>
      <c r="G40" s="14"/>
    </row>
  </sheetData>
  <mergeCells count="33">
    <mergeCell ref="A1:G1"/>
    <mergeCell ref="A3:G3"/>
    <mergeCell ref="D4:G4"/>
    <mergeCell ref="D5:G5"/>
    <mergeCell ref="D6:G6"/>
    <mergeCell ref="D7:G7"/>
    <mergeCell ref="D8:G8"/>
    <mergeCell ref="D9:G9"/>
    <mergeCell ref="D10:G10"/>
    <mergeCell ref="D11:G11"/>
    <mergeCell ref="A13:G13"/>
    <mergeCell ref="A15:G15"/>
    <mergeCell ref="A16:G16"/>
    <mergeCell ref="A18:B18"/>
    <mergeCell ref="A19:B19"/>
    <mergeCell ref="A20:B20"/>
    <mergeCell ref="A21:B21"/>
    <mergeCell ref="A22:B22"/>
    <mergeCell ref="A23:B23"/>
    <mergeCell ref="A25:G25"/>
    <mergeCell ref="A26:G26"/>
    <mergeCell ref="A28:B28"/>
    <mergeCell ref="A29:B29"/>
    <mergeCell ref="A30:B30"/>
    <mergeCell ref="A31:B31"/>
    <mergeCell ref="A37:B37"/>
    <mergeCell ref="A38:B38"/>
    <mergeCell ref="A40:G40"/>
    <mergeCell ref="A32:B32"/>
    <mergeCell ref="A33:B33"/>
    <mergeCell ref="A34:B34"/>
    <mergeCell ref="A35:B35"/>
    <mergeCell ref="A36:B36"/>
  </mergeCells>
  <printOptions horizontalCentered="1"/>
  <pageMargins left="0.5" right="0.5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7"/>
  <sheetViews>
    <sheetView showGridLines="0" zoomScaleNormal="100" workbookViewId="0">
      <selection activeCell="K7" sqref="K7"/>
    </sheetView>
  </sheetViews>
  <sheetFormatPr defaultColWidth="8.6640625" defaultRowHeight="14.4" x14ac:dyDescent="0.3"/>
  <cols>
    <col min="1" max="1" width="32" customWidth="1"/>
    <col min="2" max="9" width="10" customWidth="1"/>
    <col min="10" max="10" width="12" customWidth="1"/>
    <col min="11" max="11" width="8" customWidth="1"/>
    <col min="12" max="12" width="12" customWidth="1"/>
    <col min="13" max="14" width="8" customWidth="1"/>
  </cols>
  <sheetData>
    <row r="1" spans="1:10" ht="21.75" customHeight="1" x14ac:dyDescent="0.3">
      <c r="A1" s="16" t="s">
        <v>240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ht="15" customHeight="1" x14ac:dyDescent="0.3">
      <c r="A3" s="13" t="s">
        <v>134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ht="15" customHeight="1" x14ac:dyDescent="0.3">
      <c r="A4" s="4" t="s">
        <v>86</v>
      </c>
      <c r="B4" s="4" t="s">
        <v>87</v>
      </c>
      <c r="C4" s="17" t="s">
        <v>135</v>
      </c>
      <c r="D4" s="17"/>
      <c r="E4" s="17"/>
      <c r="F4" s="17"/>
      <c r="G4" s="17"/>
      <c r="H4" s="17"/>
      <c r="I4" s="17"/>
      <c r="J4" s="17"/>
    </row>
    <row r="5" spans="1:10" ht="41.4" x14ac:dyDescent="0.3">
      <c r="A5" s="9" t="s">
        <v>136</v>
      </c>
      <c r="B5" s="7" t="s">
        <v>137</v>
      </c>
      <c r="C5" s="8">
        <v>1</v>
      </c>
      <c r="D5" s="8">
        <v>2</v>
      </c>
      <c r="E5" s="8">
        <v>4</v>
      </c>
      <c r="F5" s="8">
        <v>9</v>
      </c>
      <c r="G5" s="8">
        <v>18</v>
      </c>
      <c r="H5" s="8">
        <v>37</v>
      </c>
      <c r="I5" s="8">
        <v>75</v>
      </c>
      <c r="J5" s="8">
        <v>151</v>
      </c>
    </row>
    <row r="6" spans="1:10" x14ac:dyDescent="0.3">
      <c r="A6" s="3" t="s">
        <v>138</v>
      </c>
      <c r="B6" s="7" t="s">
        <v>139</v>
      </c>
      <c r="C6" s="6">
        <f>0</f>
        <v>0</v>
      </c>
      <c r="D6" s="6">
        <f>SUM(C5:C5)</f>
        <v>1</v>
      </c>
      <c r="E6" s="6">
        <f>SUM(C5:D5)</f>
        <v>3</v>
      </c>
      <c r="F6" s="6">
        <f>SUM(C5:E5)</f>
        <v>7</v>
      </c>
      <c r="G6" s="6">
        <f>SUM(C5:F5)</f>
        <v>16</v>
      </c>
      <c r="H6" s="6">
        <f>SUM(C5:G5)</f>
        <v>34</v>
      </c>
      <c r="I6" s="6">
        <f>SUM(C5:H5)</f>
        <v>71</v>
      </c>
      <c r="J6" s="6">
        <f>SUM(C5:I5)</f>
        <v>146</v>
      </c>
    </row>
    <row r="7" spans="1:10" ht="27.6" x14ac:dyDescent="0.3">
      <c r="A7" s="3" t="s">
        <v>140</v>
      </c>
      <c r="B7" s="7" t="s">
        <v>141</v>
      </c>
      <c r="C7" s="6" t="b">
        <f t="shared" ref="C7:J7" si="0">C5&gt;C6</f>
        <v>1</v>
      </c>
      <c r="D7" s="6" t="b">
        <f t="shared" si="0"/>
        <v>1</v>
      </c>
      <c r="E7" s="6" t="b">
        <f t="shared" si="0"/>
        <v>1</v>
      </c>
      <c r="F7" s="6" t="b">
        <f t="shared" si="0"/>
        <v>1</v>
      </c>
      <c r="G7" s="6" t="b">
        <f t="shared" si="0"/>
        <v>1</v>
      </c>
      <c r="H7" s="6" t="b">
        <f t="shared" si="0"/>
        <v>1</v>
      </c>
      <c r="I7" s="6" t="b">
        <f t="shared" si="0"/>
        <v>1</v>
      </c>
      <c r="J7" s="6" t="b">
        <f t="shared" si="0"/>
        <v>1</v>
      </c>
    </row>
    <row r="9" spans="1:10" ht="15" customHeight="1" x14ac:dyDescent="0.3">
      <c r="A9" s="9" t="s">
        <v>142</v>
      </c>
      <c r="B9" s="7" t="s">
        <v>143</v>
      </c>
      <c r="C9" s="8">
        <v>311</v>
      </c>
      <c r="D9" s="15" t="s">
        <v>144</v>
      </c>
      <c r="E9" s="15"/>
      <c r="F9" s="15"/>
      <c r="G9" s="15"/>
      <c r="H9" s="15"/>
      <c r="I9" s="15"/>
      <c r="J9" s="15"/>
    </row>
    <row r="10" spans="1:10" ht="25.35" customHeight="1" x14ac:dyDescent="0.3">
      <c r="A10" s="3" t="s">
        <v>145</v>
      </c>
      <c r="B10" s="7" t="s">
        <v>146</v>
      </c>
      <c r="C10" s="5">
        <f>SUM(C5:J5)</f>
        <v>297</v>
      </c>
      <c r="D10" s="15" t="s">
        <v>147</v>
      </c>
      <c r="E10" s="15"/>
      <c r="F10" s="15"/>
      <c r="G10" s="15"/>
      <c r="H10" s="15"/>
      <c r="I10" s="15"/>
      <c r="J10" s="15"/>
    </row>
    <row r="11" spans="1:10" ht="15" customHeight="1" x14ac:dyDescent="0.3">
      <c r="A11" s="9" t="s">
        <v>148</v>
      </c>
      <c r="B11" s="7" t="s">
        <v>96</v>
      </c>
      <c r="C11" s="8">
        <v>41</v>
      </c>
      <c r="D11" s="15" t="s">
        <v>149</v>
      </c>
      <c r="E11" s="15"/>
      <c r="F11" s="15"/>
      <c r="G11" s="15"/>
      <c r="H11" s="15"/>
      <c r="I11" s="15"/>
      <c r="J11" s="15"/>
    </row>
    <row r="12" spans="1:10" ht="15" customHeight="1" x14ac:dyDescent="0.3">
      <c r="A12" s="3" t="s">
        <v>150</v>
      </c>
      <c r="B12" s="7" t="s">
        <v>151</v>
      </c>
      <c r="C12" s="5">
        <f>GCD(C11,C9)</f>
        <v>1</v>
      </c>
      <c r="D12" s="15" t="s">
        <v>109</v>
      </c>
      <c r="E12" s="15"/>
      <c r="F12" s="15"/>
      <c r="G12" s="15"/>
      <c r="H12" s="15"/>
      <c r="I12" s="15"/>
      <c r="J12" s="15"/>
    </row>
    <row r="13" spans="1:10" ht="15" customHeight="1" x14ac:dyDescent="0.3">
      <c r="A13" s="9" t="s">
        <v>152</v>
      </c>
      <c r="B13" s="7" t="s">
        <v>153</v>
      </c>
      <c r="C13" s="8">
        <v>220</v>
      </c>
      <c r="D13" s="15" t="s">
        <v>154</v>
      </c>
      <c r="E13" s="15"/>
      <c r="F13" s="15"/>
      <c r="G13" s="15"/>
      <c r="H13" s="15"/>
      <c r="I13" s="15"/>
      <c r="J13" s="15"/>
    </row>
    <row r="14" spans="1:10" ht="15" customHeight="1" x14ac:dyDescent="0.3">
      <c r="A14" s="3" t="s">
        <v>155</v>
      </c>
      <c r="B14" s="7" t="s">
        <v>108</v>
      </c>
      <c r="C14" s="5">
        <f>MOD(C11*C13,C9)</f>
        <v>1</v>
      </c>
      <c r="D14" s="15" t="s">
        <v>109</v>
      </c>
      <c r="E14" s="15"/>
      <c r="F14" s="15"/>
      <c r="G14" s="15"/>
      <c r="H14" s="15"/>
      <c r="I14" s="15"/>
      <c r="J14" s="15"/>
    </row>
    <row r="16" spans="1:10" ht="15" customHeight="1" x14ac:dyDescent="0.3">
      <c r="A16" s="13" t="s">
        <v>156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4" x14ac:dyDescent="0.3">
      <c r="A17" s="4" t="s">
        <v>157</v>
      </c>
      <c r="B17" s="4"/>
      <c r="C17" s="7">
        <v>1</v>
      </c>
      <c r="D17" s="7">
        <v>2</v>
      </c>
      <c r="E17" s="7">
        <v>3</v>
      </c>
      <c r="F17" s="7">
        <v>4</v>
      </c>
      <c r="G17" s="7">
        <v>5</v>
      </c>
      <c r="H17" s="7">
        <v>6</v>
      </c>
      <c r="I17" s="7">
        <v>7</v>
      </c>
      <c r="J17" s="7">
        <v>8</v>
      </c>
    </row>
    <row r="18" spans="1:14" x14ac:dyDescent="0.3">
      <c r="A18" s="1" t="s">
        <v>158</v>
      </c>
      <c r="B18" s="7" t="s">
        <v>137</v>
      </c>
      <c r="C18" s="6">
        <f t="shared" ref="C18:J18" si="1">C5</f>
        <v>1</v>
      </c>
      <c r="D18" s="6">
        <f t="shared" si="1"/>
        <v>2</v>
      </c>
      <c r="E18" s="6">
        <f t="shared" si="1"/>
        <v>4</v>
      </c>
      <c r="F18" s="6">
        <f t="shared" si="1"/>
        <v>9</v>
      </c>
      <c r="G18" s="6">
        <f t="shared" si="1"/>
        <v>18</v>
      </c>
      <c r="H18" s="6">
        <f t="shared" si="1"/>
        <v>37</v>
      </c>
      <c r="I18" s="6">
        <f t="shared" si="1"/>
        <v>75</v>
      </c>
      <c r="J18" s="6">
        <f t="shared" si="1"/>
        <v>151</v>
      </c>
    </row>
    <row r="19" spans="1:14" ht="27.6" x14ac:dyDescent="0.3">
      <c r="A19" s="1" t="s">
        <v>159</v>
      </c>
      <c r="B19" s="7" t="s">
        <v>160</v>
      </c>
      <c r="C19" s="10">
        <f t="shared" ref="C19:J19" si="2">MOD(C18*$C$11,$C$9)</f>
        <v>41</v>
      </c>
      <c r="D19" s="10">
        <f t="shared" si="2"/>
        <v>82</v>
      </c>
      <c r="E19" s="10">
        <f t="shared" si="2"/>
        <v>164</v>
      </c>
      <c r="F19" s="10">
        <f t="shared" si="2"/>
        <v>58</v>
      </c>
      <c r="G19" s="10">
        <f t="shared" si="2"/>
        <v>116</v>
      </c>
      <c r="H19" s="10">
        <f t="shared" si="2"/>
        <v>273</v>
      </c>
      <c r="I19" s="10">
        <f t="shared" si="2"/>
        <v>276</v>
      </c>
      <c r="J19" s="10">
        <f t="shared" si="2"/>
        <v>282</v>
      </c>
    </row>
    <row r="21" spans="1:14" ht="15" customHeight="1" x14ac:dyDescent="0.3">
      <c r="A21" s="13" t="s">
        <v>161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4" x14ac:dyDescent="0.3">
      <c r="A22" s="4" t="s">
        <v>80</v>
      </c>
      <c r="B22" s="4" t="s">
        <v>10</v>
      </c>
      <c r="C22" s="4" t="s">
        <v>162</v>
      </c>
      <c r="D22" s="4" t="s">
        <v>163</v>
      </c>
      <c r="E22" s="4" t="s">
        <v>164</v>
      </c>
      <c r="F22" s="4" t="s">
        <v>165</v>
      </c>
      <c r="G22" s="4" t="s">
        <v>166</v>
      </c>
      <c r="H22" s="4" t="s">
        <v>167</v>
      </c>
      <c r="I22" s="4" t="s">
        <v>168</v>
      </c>
      <c r="J22" s="4" t="s">
        <v>169</v>
      </c>
      <c r="K22" s="4" t="s">
        <v>170</v>
      </c>
    </row>
    <row r="23" spans="1:14" x14ac:dyDescent="0.3">
      <c r="A23" s="12" t="s">
        <v>34</v>
      </c>
      <c r="B23" s="8">
        <v>217</v>
      </c>
      <c r="C23" s="8">
        <v>1</v>
      </c>
      <c r="D23" s="8">
        <v>1</v>
      </c>
      <c r="E23" s="8">
        <v>0</v>
      </c>
      <c r="F23" s="8">
        <v>1</v>
      </c>
      <c r="G23" s="8">
        <v>1</v>
      </c>
      <c r="H23" s="8">
        <v>0</v>
      </c>
      <c r="I23" s="8">
        <v>0</v>
      </c>
      <c r="J23" s="8">
        <v>1</v>
      </c>
      <c r="K23" s="10">
        <f>SUMPRODUCT(C23:J23,$C$19:$J$19)</f>
        <v>579</v>
      </c>
    </row>
    <row r="24" spans="1:14" x14ac:dyDescent="0.3">
      <c r="A24" s="12" t="s">
        <v>62</v>
      </c>
      <c r="B24" s="8">
        <v>211</v>
      </c>
      <c r="C24" s="8">
        <v>1</v>
      </c>
      <c r="D24" s="8">
        <v>1</v>
      </c>
      <c r="E24" s="8">
        <v>0</v>
      </c>
      <c r="F24" s="8">
        <v>1</v>
      </c>
      <c r="G24" s="8">
        <v>0</v>
      </c>
      <c r="H24" s="8">
        <v>0</v>
      </c>
      <c r="I24" s="8">
        <v>1</v>
      </c>
      <c r="J24" s="8">
        <v>1</v>
      </c>
      <c r="K24" s="10">
        <f>SUMPRODUCT(C24:J24,$C$19:$J$19)</f>
        <v>739</v>
      </c>
    </row>
    <row r="25" spans="1:14" x14ac:dyDescent="0.3">
      <c r="A25" s="12" t="s">
        <v>44</v>
      </c>
      <c r="B25" s="8">
        <v>208</v>
      </c>
      <c r="C25" s="8">
        <v>1</v>
      </c>
      <c r="D25" s="8">
        <v>1</v>
      </c>
      <c r="E25" s="8">
        <v>0</v>
      </c>
      <c r="F25" s="8">
        <v>1</v>
      </c>
      <c r="G25" s="8">
        <v>0</v>
      </c>
      <c r="H25" s="8">
        <v>0</v>
      </c>
      <c r="I25" s="8">
        <v>0</v>
      </c>
      <c r="J25" s="8">
        <v>0</v>
      </c>
      <c r="K25" s="10">
        <f>SUMPRODUCT(C25:J25,$C$19:$J$19)</f>
        <v>181</v>
      </c>
    </row>
    <row r="26" spans="1:14" x14ac:dyDescent="0.3">
      <c r="A26" s="12" t="s">
        <v>32</v>
      </c>
      <c r="B26" s="8">
        <v>206</v>
      </c>
      <c r="C26" s="8">
        <v>1</v>
      </c>
      <c r="D26" s="8">
        <v>1</v>
      </c>
      <c r="E26" s="8">
        <v>0</v>
      </c>
      <c r="F26" s="8">
        <v>0</v>
      </c>
      <c r="G26" s="8">
        <v>1</v>
      </c>
      <c r="H26" s="8">
        <v>1</v>
      </c>
      <c r="I26" s="8">
        <v>1</v>
      </c>
      <c r="J26" s="8">
        <v>0</v>
      </c>
      <c r="K26" s="10">
        <f>SUMPRODUCT(C26:J26,$C$19:$J$19)</f>
        <v>788</v>
      </c>
    </row>
    <row r="27" spans="1:14" x14ac:dyDescent="0.3">
      <c r="A27" s="12" t="s">
        <v>24</v>
      </c>
      <c r="B27" s="8">
        <v>194</v>
      </c>
      <c r="C27" s="8">
        <v>1</v>
      </c>
      <c r="D27" s="8">
        <v>1</v>
      </c>
      <c r="E27" s="8">
        <v>0</v>
      </c>
      <c r="F27" s="8">
        <v>0</v>
      </c>
      <c r="G27" s="8">
        <v>0</v>
      </c>
      <c r="H27" s="8">
        <v>0</v>
      </c>
      <c r="I27" s="8">
        <v>1</v>
      </c>
      <c r="J27" s="8">
        <v>0</v>
      </c>
      <c r="K27" s="10">
        <f>SUMPRODUCT(C27:J27,$C$19:$J$19)</f>
        <v>399</v>
      </c>
    </row>
    <row r="29" spans="1:14" ht="15" customHeight="1" x14ac:dyDescent="0.3">
      <c r="A29" s="13" t="s">
        <v>171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4" x14ac:dyDescent="0.3">
      <c r="A30" s="4" t="s">
        <v>80</v>
      </c>
      <c r="B30" s="4" t="s">
        <v>170</v>
      </c>
      <c r="C30" s="4" t="s">
        <v>172</v>
      </c>
      <c r="D30" s="4" t="s">
        <v>173</v>
      </c>
      <c r="E30" s="4" t="s">
        <v>174</v>
      </c>
      <c r="F30" s="4" t="s">
        <v>175</v>
      </c>
      <c r="G30" s="4" t="s">
        <v>176</v>
      </c>
      <c r="H30" s="4" t="s">
        <v>177</v>
      </c>
      <c r="I30" s="4" t="s">
        <v>178</v>
      </c>
      <c r="J30" s="4" t="s">
        <v>179</v>
      </c>
      <c r="K30" s="4" t="s">
        <v>180</v>
      </c>
      <c r="L30" s="4" t="s">
        <v>11</v>
      </c>
      <c r="M30" s="4" t="s">
        <v>10</v>
      </c>
      <c r="N30" s="4" t="s">
        <v>181</v>
      </c>
    </row>
    <row r="31" spans="1:14" x14ac:dyDescent="0.3">
      <c r="A31" s="12" t="s">
        <v>34</v>
      </c>
      <c r="B31" s="6">
        <f>K23</f>
        <v>579</v>
      </c>
      <c r="C31" s="5">
        <f>MOD(B31*$C$13,$C$9)</f>
        <v>181</v>
      </c>
      <c r="D31" s="6">
        <f>IF(C31&gt;=151,1,0)</f>
        <v>1</v>
      </c>
      <c r="E31" s="6">
        <f>IF((C31-SUMPRODUCT(D31:D31,{151}))&gt;=75,1,0)</f>
        <v>0</v>
      </c>
      <c r="F31" s="6">
        <f>IF((C31-SUMPRODUCT(D31:E31,{151,75}))&gt;=37,1,0)</f>
        <v>0</v>
      </c>
      <c r="G31" s="6">
        <f>IF((C31-SUMPRODUCT(D31:F31,{151,75,37}))&gt;=18,1,0)</f>
        <v>1</v>
      </c>
      <c r="H31" s="6">
        <f>IF((C31-SUMPRODUCT(D31:G31,{151,75,37,18}))&gt;=9,1,0)</f>
        <v>1</v>
      </c>
      <c r="I31" s="6">
        <f>IF((C31-SUMPRODUCT(D31:H31,{151,75,37,18,9}))&gt;=4,1,0)</f>
        <v>0</v>
      </c>
      <c r="J31" s="6">
        <f>IF((C31-SUMPRODUCT(D31:I31,{151,75,37,18,9,4}))&gt;=2,1,0)</f>
        <v>1</v>
      </c>
      <c r="K31" s="6">
        <f>IF((C31-SUMPRODUCT(D31:J31,{151,75,37,18,9,4,2}))&gt;=1,1,0)</f>
        <v>1</v>
      </c>
      <c r="L31" s="6" t="str">
        <f>K31&amp;J31&amp;I31&amp;H31&amp;G31&amp;F31&amp;E31&amp;D31</f>
        <v>11011001</v>
      </c>
      <c r="M31" s="11">
        <f>K31*128+J31*64+I31*32+H31*16+G31*8+F31*4+E31*2+D31*1</f>
        <v>217</v>
      </c>
      <c r="N31" s="5" t="str">
        <f>MID("АБВГДЕЖЗИЙКЛМНОПРСТУФХЦЧШЩЪЫЬЭЮЯ",M31-191,1)</f>
        <v>Щ</v>
      </c>
    </row>
    <row r="32" spans="1:14" x14ac:dyDescent="0.3">
      <c r="A32" s="12" t="s">
        <v>62</v>
      </c>
      <c r="B32" s="6">
        <f>K24</f>
        <v>739</v>
      </c>
      <c r="C32" s="5">
        <f>MOD(B32*$C$13,$C$9)</f>
        <v>238</v>
      </c>
      <c r="D32" s="6">
        <f>IF(C32&gt;=151,1,0)</f>
        <v>1</v>
      </c>
      <c r="E32" s="6">
        <f>IF((C32-SUMPRODUCT(D32:D32,{151}))&gt;=75,1,0)</f>
        <v>1</v>
      </c>
      <c r="F32" s="6">
        <f>IF((C32-SUMPRODUCT(D32:E32,{151,75}))&gt;=37,1,0)</f>
        <v>0</v>
      </c>
      <c r="G32" s="6">
        <f>IF((C32-SUMPRODUCT(D32:F32,{151,75,37}))&gt;=18,1,0)</f>
        <v>0</v>
      </c>
      <c r="H32" s="6">
        <f>IF((C32-SUMPRODUCT(D32:G32,{151,75,37,18}))&gt;=9,1,0)</f>
        <v>1</v>
      </c>
      <c r="I32" s="6">
        <f>IF((C32-SUMPRODUCT(D32:H32,{151,75,37,18,9}))&gt;=4,1,0)</f>
        <v>0</v>
      </c>
      <c r="J32" s="6">
        <f>IF((C32-SUMPRODUCT(D32:I32,{151,75,37,18,9,4}))&gt;=2,1,0)</f>
        <v>1</v>
      </c>
      <c r="K32" s="6">
        <f>IF((C32-SUMPRODUCT(D32:J32,{151,75,37,18,9,4,2}))&gt;=1,1,0)</f>
        <v>1</v>
      </c>
      <c r="L32" s="6" t="str">
        <f>K32&amp;J32&amp;I32&amp;H32&amp;G32&amp;F32&amp;E32&amp;D32</f>
        <v>11010011</v>
      </c>
      <c r="M32" s="11">
        <f>K32*128+J32*64+I32*32+H32*16+G32*8+F32*4+E32*2+D32*1</f>
        <v>211</v>
      </c>
      <c r="N32" s="5" t="str">
        <f>MID("АБВГДЕЖЗИЙКЛМНОПРСТУФХЦЧШЩЪЫЬЭЮЯ",M32-191,1)</f>
        <v>У</v>
      </c>
    </row>
    <row r="33" spans="1:14" x14ac:dyDescent="0.3">
      <c r="A33" s="12" t="s">
        <v>44</v>
      </c>
      <c r="B33" s="6">
        <f>K25</f>
        <v>181</v>
      </c>
      <c r="C33" s="5">
        <f>MOD(B33*$C$13,$C$9)</f>
        <v>12</v>
      </c>
      <c r="D33" s="6">
        <f>IF(C33&gt;=151,1,0)</f>
        <v>0</v>
      </c>
      <c r="E33" s="6">
        <f>IF((C33-SUMPRODUCT(D33:D33,{151}))&gt;=75,1,0)</f>
        <v>0</v>
      </c>
      <c r="F33" s="6">
        <f>IF((C33-SUMPRODUCT(D33:E33,{151,75}))&gt;=37,1,0)</f>
        <v>0</v>
      </c>
      <c r="G33" s="6">
        <f>IF((C33-SUMPRODUCT(D33:F33,{151,75,37}))&gt;=18,1,0)</f>
        <v>0</v>
      </c>
      <c r="H33" s="6">
        <f>IF((C33-SUMPRODUCT(D33:G33,{151,75,37,18}))&gt;=9,1,0)</f>
        <v>1</v>
      </c>
      <c r="I33" s="6">
        <f>IF((C33-SUMPRODUCT(D33:H33,{151,75,37,18,9}))&gt;=4,1,0)</f>
        <v>0</v>
      </c>
      <c r="J33" s="6">
        <f>IF((C33-SUMPRODUCT(D33:I33,{151,75,37,18,9,4}))&gt;=2,1,0)</f>
        <v>1</v>
      </c>
      <c r="K33" s="6">
        <f>IF((C33-SUMPRODUCT(D33:J33,{151,75,37,18,9,4,2}))&gt;=1,1,0)</f>
        <v>1</v>
      </c>
      <c r="L33" s="6" t="str">
        <f>K33&amp;J33&amp;I33&amp;H33&amp;G33&amp;F33&amp;E33&amp;D33</f>
        <v>11010000</v>
      </c>
      <c r="M33" s="11">
        <f>K33*128+J33*64+I33*32+H33*16+G33*8+F33*4+E33*2+D33*1</f>
        <v>208</v>
      </c>
      <c r="N33" s="5" t="str">
        <f>MID("АБВГДЕЖЗИЙКЛМНОПРСТУФХЦЧШЩЪЫЬЭЮЯ",M33-191,1)</f>
        <v>Р</v>
      </c>
    </row>
    <row r="34" spans="1:14" x14ac:dyDescent="0.3">
      <c r="A34" s="12" t="s">
        <v>32</v>
      </c>
      <c r="B34" s="6">
        <f>K26</f>
        <v>788</v>
      </c>
      <c r="C34" s="5">
        <f>MOD(B34*$C$13,$C$9)</f>
        <v>133</v>
      </c>
      <c r="D34" s="6">
        <f>IF(C34&gt;=151,1,0)</f>
        <v>0</v>
      </c>
      <c r="E34" s="6">
        <f>IF((C34-SUMPRODUCT(D34:D34,{151}))&gt;=75,1,0)</f>
        <v>1</v>
      </c>
      <c r="F34" s="6">
        <f>IF((C34-SUMPRODUCT(D34:E34,{151,75}))&gt;=37,1,0)</f>
        <v>1</v>
      </c>
      <c r="G34" s="6">
        <f>IF((C34-SUMPRODUCT(D34:F34,{151,75,37}))&gt;=18,1,0)</f>
        <v>1</v>
      </c>
      <c r="H34" s="6">
        <f>IF((C34-SUMPRODUCT(D34:G34,{151,75,37,18}))&gt;=9,1,0)</f>
        <v>0</v>
      </c>
      <c r="I34" s="6">
        <f>IF((C34-SUMPRODUCT(D34:H34,{151,75,37,18,9}))&gt;=4,1,0)</f>
        <v>0</v>
      </c>
      <c r="J34" s="6">
        <f>IF((C34-SUMPRODUCT(D34:I34,{151,75,37,18,9,4}))&gt;=2,1,0)</f>
        <v>1</v>
      </c>
      <c r="K34" s="6">
        <f>IF((C34-SUMPRODUCT(D34:J34,{151,75,37,18,9,4,2}))&gt;=1,1,0)</f>
        <v>1</v>
      </c>
      <c r="L34" s="6" t="str">
        <f>K34&amp;J34&amp;I34&amp;H34&amp;G34&amp;F34&amp;E34&amp;D34</f>
        <v>11001110</v>
      </c>
      <c r="M34" s="11">
        <f>K34*128+J34*64+I34*32+H34*16+G34*8+F34*4+E34*2+D34*1</f>
        <v>206</v>
      </c>
      <c r="N34" s="5" t="str">
        <f>MID("АБВГДЕЖЗИЙКЛМНОПРСТУФХЦЧШЩЪЫЬЭЮЯ",M34-191,1)</f>
        <v>О</v>
      </c>
    </row>
    <row r="35" spans="1:14" x14ac:dyDescent="0.3">
      <c r="A35" s="12" t="s">
        <v>24</v>
      </c>
      <c r="B35" s="6">
        <f>K27</f>
        <v>399</v>
      </c>
      <c r="C35" s="5">
        <f>MOD(B35*$C$13,$C$9)</f>
        <v>78</v>
      </c>
      <c r="D35" s="6">
        <f>IF(C35&gt;=151,1,0)</f>
        <v>0</v>
      </c>
      <c r="E35" s="6">
        <f>IF((C35-SUMPRODUCT(D35:D35,{151}))&gt;=75,1,0)</f>
        <v>1</v>
      </c>
      <c r="F35" s="6">
        <f>IF((C35-SUMPRODUCT(D35:E35,{151,75}))&gt;=37,1,0)</f>
        <v>0</v>
      </c>
      <c r="G35" s="6">
        <f>IF((C35-SUMPRODUCT(D35:F35,{151,75,37}))&gt;=18,1,0)</f>
        <v>0</v>
      </c>
      <c r="H35" s="6">
        <f>IF((C35-SUMPRODUCT(D35:G35,{151,75,37,18}))&gt;=9,1,0)</f>
        <v>0</v>
      </c>
      <c r="I35" s="6">
        <f>IF((C35-SUMPRODUCT(D35:H35,{151,75,37,18,9}))&gt;=4,1,0)</f>
        <v>0</v>
      </c>
      <c r="J35" s="6">
        <f>IF((C35-SUMPRODUCT(D35:I35,{151,75,37,18,9,4}))&gt;=2,1,0)</f>
        <v>1</v>
      </c>
      <c r="K35" s="6">
        <f>IF((C35-SUMPRODUCT(D35:J35,{151,75,37,18,9,4,2}))&gt;=1,1,0)</f>
        <v>1</v>
      </c>
      <c r="L35" s="6" t="str">
        <f>K35&amp;J35&amp;I35&amp;H35&amp;G35&amp;F35&amp;E35&amp;D35</f>
        <v>11000010</v>
      </c>
      <c r="M35" s="11">
        <f>K35*128+J35*64+I35*32+H35*16+G35*8+F35*4+E35*2+D35*1</f>
        <v>194</v>
      </c>
      <c r="N35" s="5" t="str">
        <f>MID("АБВГДЕЖЗИЙКЛМНОПРСТУФХЦЧШЩЪЫЬЭЮЯ",M35-191,1)</f>
        <v>В</v>
      </c>
    </row>
    <row r="37" spans="1:14" ht="27.75" customHeight="1" x14ac:dyDescent="0.3">
      <c r="A37" s="14" t="s">
        <v>182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</sheetData>
  <mergeCells count="13">
    <mergeCell ref="A1:J1"/>
    <mergeCell ref="A3:J3"/>
    <mergeCell ref="C4:J4"/>
    <mergeCell ref="D9:J9"/>
    <mergeCell ref="D10:J10"/>
    <mergeCell ref="A21:J21"/>
    <mergeCell ref="A29:K29"/>
    <mergeCell ref="A37:N37"/>
    <mergeCell ref="D11:J11"/>
    <mergeCell ref="D12:J12"/>
    <mergeCell ref="D13:J13"/>
    <mergeCell ref="D14:J14"/>
    <mergeCell ref="A16:J16"/>
  </mergeCells>
  <printOptions horizontalCentered="1"/>
  <pageMargins left="0.5" right="0.5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1"/>
  <sheetViews>
    <sheetView showGridLines="0" tabSelected="1" zoomScaleNormal="100" workbookViewId="0">
      <selection activeCell="I15" sqref="I15"/>
    </sheetView>
  </sheetViews>
  <sheetFormatPr defaultColWidth="8.6640625" defaultRowHeight="14.4" x14ac:dyDescent="0.3"/>
  <cols>
    <col min="1" max="1" width="34" customWidth="1"/>
    <col min="2" max="6" width="12" customWidth="1"/>
    <col min="7" max="7" width="14" customWidth="1"/>
  </cols>
  <sheetData>
    <row r="1" spans="1:7" ht="21.75" customHeight="1" x14ac:dyDescent="0.3">
      <c r="A1" s="16" t="s">
        <v>183</v>
      </c>
      <c r="B1" s="16"/>
      <c r="C1" s="16"/>
      <c r="D1" s="16"/>
      <c r="E1" s="16"/>
      <c r="F1" s="16"/>
      <c r="G1" s="16"/>
    </row>
    <row r="3" spans="1:7" ht="15" customHeight="1" x14ac:dyDescent="0.3">
      <c r="A3" s="13" t="s">
        <v>184</v>
      </c>
      <c r="B3" s="13"/>
      <c r="C3" s="13"/>
      <c r="D3" s="13"/>
      <c r="E3" s="13"/>
      <c r="F3" s="13"/>
      <c r="G3" s="13"/>
    </row>
    <row r="4" spans="1:7" ht="15" customHeight="1" x14ac:dyDescent="0.3">
      <c r="A4" s="4" t="s">
        <v>86</v>
      </c>
      <c r="B4" s="4" t="s">
        <v>87</v>
      </c>
      <c r="C4" s="4" t="s">
        <v>88</v>
      </c>
      <c r="D4" s="17" t="s">
        <v>185</v>
      </c>
      <c r="E4" s="17"/>
      <c r="F4" s="17"/>
      <c r="G4" s="17"/>
    </row>
    <row r="5" spans="1:7" ht="15" customHeight="1" x14ac:dyDescent="0.3">
      <c r="A5" s="9" t="s">
        <v>186</v>
      </c>
      <c r="B5" s="7" t="s">
        <v>91</v>
      </c>
      <c r="C5" s="8">
        <v>37</v>
      </c>
      <c r="D5" s="15" t="s">
        <v>187</v>
      </c>
      <c r="E5" s="15"/>
      <c r="F5" s="15"/>
      <c r="G5" s="15"/>
    </row>
    <row r="6" spans="1:7" ht="15" customHeight="1" x14ac:dyDescent="0.3">
      <c r="A6" s="9" t="s">
        <v>188</v>
      </c>
      <c r="B6" s="7" t="s">
        <v>189</v>
      </c>
      <c r="C6" s="8">
        <v>2</v>
      </c>
      <c r="D6" s="15" t="s">
        <v>190</v>
      </c>
      <c r="E6" s="15"/>
      <c r="F6" s="15"/>
      <c r="G6" s="15"/>
    </row>
    <row r="7" spans="1:7" ht="15" customHeight="1" x14ac:dyDescent="0.3">
      <c r="A7" s="9" t="s">
        <v>191</v>
      </c>
      <c r="B7" s="7" t="s">
        <v>192</v>
      </c>
      <c r="C7" s="8">
        <v>10</v>
      </c>
      <c r="D7" s="15" t="s">
        <v>193</v>
      </c>
      <c r="E7" s="15"/>
      <c r="F7" s="15"/>
      <c r="G7" s="15"/>
    </row>
    <row r="8" spans="1:7" ht="15" customHeight="1" x14ac:dyDescent="0.3">
      <c r="A8" s="9" t="s">
        <v>194</v>
      </c>
      <c r="B8" s="7" t="s">
        <v>195</v>
      </c>
      <c r="C8" s="5">
        <f>MOD(C6^C7,C5)</f>
        <v>25</v>
      </c>
      <c r="D8" s="15" t="s">
        <v>196</v>
      </c>
      <c r="E8" s="15"/>
      <c r="F8" s="15"/>
      <c r="G8" s="15"/>
    </row>
    <row r="9" spans="1:7" ht="25.35" customHeight="1" x14ac:dyDescent="0.3">
      <c r="A9" s="9" t="s">
        <v>197</v>
      </c>
      <c r="B9" s="7" t="s">
        <v>198</v>
      </c>
      <c r="C9" s="8">
        <v>7</v>
      </c>
      <c r="D9" s="15" t="s">
        <v>199</v>
      </c>
      <c r="E9" s="15"/>
      <c r="F9" s="15"/>
      <c r="G9" s="15"/>
    </row>
    <row r="11" spans="1:7" ht="15" customHeight="1" x14ac:dyDescent="0.3">
      <c r="A11" s="26" t="s">
        <v>200</v>
      </c>
      <c r="B11" s="26"/>
      <c r="C11" s="26"/>
      <c r="D11" s="26"/>
      <c r="E11" s="26"/>
      <c r="F11" s="26"/>
      <c r="G11" s="26"/>
    </row>
    <row r="13" spans="1:7" ht="15" customHeight="1" x14ac:dyDescent="0.3">
      <c r="A13" s="13" t="s">
        <v>201</v>
      </c>
      <c r="B13" s="13"/>
      <c r="C13" s="13"/>
      <c r="D13" s="13"/>
      <c r="E13" s="13"/>
      <c r="F13" s="13"/>
      <c r="G13" s="13"/>
    </row>
    <row r="14" spans="1:7" ht="15" customHeight="1" x14ac:dyDescent="0.3">
      <c r="A14" s="4" t="s">
        <v>202</v>
      </c>
      <c r="B14" s="4" t="s">
        <v>203</v>
      </c>
      <c r="C14" s="4" t="s">
        <v>88</v>
      </c>
      <c r="D14" s="17" t="s">
        <v>185</v>
      </c>
      <c r="E14" s="17"/>
      <c r="F14" s="17"/>
      <c r="G14" s="17"/>
    </row>
    <row r="15" spans="1:7" ht="25.35" customHeight="1" x14ac:dyDescent="0.3">
      <c r="A15" s="9" t="s">
        <v>204</v>
      </c>
      <c r="B15" s="2" t="s">
        <v>205</v>
      </c>
      <c r="C15" s="5">
        <f>MOD(C6^C9,C5)</f>
        <v>17</v>
      </c>
      <c r="D15" s="15" t="s">
        <v>206</v>
      </c>
      <c r="E15" s="15"/>
      <c r="F15" s="15"/>
      <c r="G15" s="15"/>
    </row>
    <row r="16" spans="1:7" ht="15" customHeight="1" x14ac:dyDescent="0.3">
      <c r="A16" s="9" t="s">
        <v>207</v>
      </c>
      <c r="B16" s="2" t="s">
        <v>207</v>
      </c>
      <c r="C16" s="5">
        <f>MOD(C8^C9,C5)</f>
        <v>28</v>
      </c>
      <c r="D16" s="15" t="s">
        <v>208</v>
      </c>
      <c r="E16" s="15"/>
      <c r="F16" s="15"/>
      <c r="G16" s="15"/>
    </row>
    <row r="17" spans="1:7" ht="25.35" customHeight="1" x14ac:dyDescent="0.3">
      <c r="A17" s="9" t="s">
        <v>209</v>
      </c>
      <c r="B17" s="2" t="s">
        <v>210</v>
      </c>
      <c r="C17" s="10">
        <f>G27</f>
        <v>4</v>
      </c>
      <c r="D17" s="15" t="s">
        <v>211</v>
      </c>
      <c r="E17" s="15"/>
      <c r="F17" s="15"/>
      <c r="G17" s="15"/>
    </row>
    <row r="19" spans="1:7" ht="15" customHeight="1" x14ac:dyDescent="0.3">
      <c r="A19" s="13" t="s">
        <v>212</v>
      </c>
      <c r="B19" s="13"/>
      <c r="C19" s="13"/>
      <c r="D19" s="13"/>
      <c r="E19" s="13"/>
      <c r="F19" s="13"/>
      <c r="G19" s="13"/>
    </row>
    <row r="20" spans="1:7" ht="27.75" customHeight="1" x14ac:dyDescent="0.3">
      <c r="A20" s="14" t="s">
        <v>213</v>
      </c>
      <c r="B20" s="14"/>
      <c r="C20" s="14"/>
      <c r="D20" s="14"/>
      <c r="E20" s="14"/>
      <c r="F20" s="14"/>
      <c r="G20" s="14"/>
    </row>
    <row r="21" spans="1:7" ht="15" customHeight="1" x14ac:dyDescent="0.3">
      <c r="A21" s="4" t="s">
        <v>113</v>
      </c>
      <c r="B21" s="17" t="s">
        <v>203</v>
      </c>
      <c r="C21" s="17"/>
      <c r="D21" s="17"/>
      <c r="E21" s="17"/>
      <c r="F21" s="17"/>
      <c r="G21" s="4" t="s">
        <v>214</v>
      </c>
    </row>
    <row r="22" spans="1:7" ht="15" customHeight="1" x14ac:dyDescent="0.3">
      <c r="A22" s="3" t="s">
        <v>215</v>
      </c>
      <c r="B22" s="27" t="s">
        <v>216</v>
      </c>
      <c r="C22" s="27"/>
      <c r="D22" s="27"/>
      <c r="E22" s="27"/>
      <c r="F22" s="27"/>
      <c r="G22" s="6">
        <v>1</v>
      </c>
    </row>
    <row r="23" spans="1:7" ht="15" customHeight="1" x14ac:dyDescent="0.3">
      <c r="A23" s="3" t="s">
        <v>217</v>
      </c>
      <c r="B23" s="27" t="s">
        <v>218</v>
      </c>
      <c r="C23" s="27"/>
      <c r="D23" s="27"/>
      <c r="E23" s="27"/>
      <c r="F23" s="27"/>
      <c r="G23" s="6">
        <f>MOD(G22^2*$C$15,$C$5)</f>
        <v>17</v>
      </c>
    </row>
    <row r="24" spans="1:7" ht="15" customHeight="1" x14ac:dyDescent="0.3">
      <c r="A24" s="3" t="s">
        <v>219</v>
      </c>
      <c r="B24" s="27" t="s">
        <v>218</v>
      </c>
      <c r="C24" s="27"/>
      <c r="D24" s="27"/>
      <c r="E24" s="27"/>
      <c r="F24" s="27"/>
      <c r="G24" s="6">
        <f>MOD(G23^2*$C$15,$C$5)</f>
        <v>29</v>
      </c>
    </row>
    <row r="25" spans="1:7" ht="15" customHeight="1" x14ac:dyDescent="0.3">
      <c r="A25" s="3" t="s">
        <v>220</v>
      </c>
      <c r="B25" s="27" t="s">
        <v>221</v>
      </c>
      <c r="C25" s="27"/>
      <c r="D25" s="27"/>
      <c r="E25" s="27"/>
      <c r="F25" s="27"/>
      <c r="G25" s="6">
        <f>MOD(G24^2,$C$5)</f>
        <v>27</v>
      </c>
    </row>
    <row r="26" spans="1:7" ht="15" customHeight="1" x14ac:dyDescent="0.3">
      <c r="A26" s="3" t="s">
        <v>222</v>
      </c>
      <c r="B26" s="27" t="s">
        <v>218</v>
      </c>
      <c r="C26" s="27"/>
      <c r="D26" s="27"/>
      <c r="E26" s="27"/>
      <c r="F26" s="27"/>
      <c r="G26" s="6">
        <f>MOD(G25^2*$C$15,$C$5)</f>
        <v>35</v>
      </c>
    </row>
    <row r="27" spans="1:7" ht="15" customHeight="1" x14ac:dyDescent="0.3">
      <c r="A27" s="3" t="s">
        <v>223</v>
      </c>
      <c r="B27" s="27" t="s">
        <v>221</v>
      </c>
      <c r="C27" s="27"/>
      <c r="D27" s="27"/>
      <c r="E27" s="27"/>
      <c r="F27" s="27"/>
      <c r="G27" s="6">
        <f>MOD(G26^2,$C$5)</f>
        <v>4</v>
      </c>
    </row>
    <row r="29" spans="1:7" ht="15" customHeight="1" x14ac:dyDescent="0.3">
      <c r="A29" s="13" t="s">
        <v>224</v>
      </c>
      <c r="B29" s="13"/>
      <c r="C29" s="13"/>
      <c r="D29" s="13"/>
      <c r="E29" s="13"/>
      <c r="F29" s="13"/>
      <c r="G29" s="13"/>
    </row>
    <row r="30" spans="1:7" x14ac:dyDescent="0.3">
      <c r="A30" s="4" t="s">
        <v>114</v>
      </c>
      <c r="B30" s="4" t="s">
        <v>34</v>
      </c>
      <c r="C30" s="4" t="s">
        <v>62</v>
      </c>
      <c r="D30" s="4" t="s">
        <v>44</v>
      </c>
      <c r="E30" s="4" t="s">
        <v>32</v>
      </c>
      <c r="F30" s="4" t="s">
        <v>24</v>
      </c>
    </row>
    <row r="31" spans="1:7" x14ac:dyDescent="0.3">
      <c r="A31" s="1" t="s">
        <v>225</v>
      </c>
      <c r="B31" s="8">
        <v>27</v>
      </c>
      <c r="C31" s="8">
        <v>21</v>
      </c>
      <c r="D31" s="8">
        <v>18</v>
      </c>
      <c r="E31" s="8">
        <v>16</v>
      </c>
      <c r="F31" s="8">
        <v>3</v>
      </c>
    </row>
    <row r="32" spans="1:7" x14ac:dyDescent="0.3">
      <c r="A32" s="1" t="s">
        <v>226</v>
      </c>
      <c r="B32" s="6">
        <f>$C$15</f>
        <v>17</v>
      </c>
      <c r="C32" s="6">
        <f>$C$15</f>
        <v>17</v>
      </c>
      <c r="D32" s="6">
        <f>$C$15</f>
        <v>17</v>
      </c>
      <c r="E32" s="6">
        <f>$C$15</f>
        <v>17</v>
      </c>
      <c r="F32" s="6">
        <f>$C$15</f>
        <v>17</v>
      </c>
    </row>
    <row r="33" spans="1:7" x14ac:dyDescent="0.3">
      <c r="A33" s="1" t="s">
        <v>227</v>
      </c>
      <c r="B33" s="10">
        <f>MOD($C$16*B31,$C$5)</f>
        <v>16</v>
      </c>
      <c r="C33" s="10">
        <f>MOD($C$16*C31,$C$5)</f>
        <v>33</v>
      </c>
      <c r="D33" s="10">
        <f>MOD($C$16*D31,$C$5)</f>
        <v>23</v>
      </c>
      <c r="E33" s="10">
        <f>MOD($C$16*E31,$C$5)</f>
        <v>4</v>
      </c>
      <c r="F33" s="10">
        <f>MOD($C$16*F31,$C$5)</f>
        <v>10</v>
      </c>
    </row>
    <row r="35" spans="1:7" ht="15" customHeight="1" x14ac:dyDescent="0.3">
      <c r="A35" s="13" t="s">
        <v>228</v>
      </c>
      <c r="B35" s="13"/>
      <c r="C35" s="13"/>
      <c r="D35" s="13"/>
      <c r="E35" s="13"/>
      <c r="F35" s="13"/>
      <c r="G35" s="13"/>
    </row>
    <row r="36" spans="1:7" x14ac:dyDescent="0.3">
      <c r="A36" s="4" t="s">
        <v>114</v>
      </c>
      <c r="B36" s="4" t="s">
        <v>34</v>
      </c>
      <c r="C36" s="4" t="s">
        <v>62</v>
      </c>
      <c r="D36" s="4" t="s">
        <v>44</v>
      </c>
      <c r="E36" s="4" t="s">
        <v>32</v>
      </c>
      <c r="F36" s="4" t="s">
        <v>24</v>
      </c>
    </row>
    <row r="37" spans="1:7" x14ac:dyDescent="0.3">
      <c r="A37" s="3" t="s">
        <v>229</v>
      </c>
      <c r="B37" s="6">
        <f>B33</f>
        <v>16</v>
      </c>
      <c r="C37" s="6">
        <f>C33</f>
        <v>33</v>
      </c>
      <c r="D37" s="6">
        <f>D33</f>
        <v>23</v>
      </c>
      <c r="E37" s="6">
        <f>E33</f>
        <v>4</v>
      </c>
      <c r="F37" s="6">
        <f>F33</f>
        <v>10</v>
      </c>
    </row>
    <row r="38" spans="1:7" ht="27.6" x14ac:dyDescent="0.3">
      <c r="A38" s="1" t="s">
        <v>230</v>
      </c>
      <c r="B38" s="11">
        <f>MOD(B37*$C$17,$C$5)</f>
        <v>27</v>
      </c>
      <c r="C38" s="11">
        <f>MOD(C37*$C$17,$C$5)</f>
        <v>21</v>
      </c>
      <c r="D38" s="11">
        <f>MOD(D37*$C$17,$C$5)</f>
        <v>18</v>
      </c>
      <c r="E38" s="11">
        <f>MOD(E37*$C$17,$C$5)</f>
        <v>16</v>
      </c>
      <c r="F38" s="11">
        <f>MOD(F37*$C$17,$C$5)</f>
        <v>3</v>
      </c>
    </row>
    <row r="39" spans="1:7" ht="27.6" x14ac:dyDescent="0.3">
      <c r="A39" s="1" t="s">
        <v>231</v>
      </c>
      <c r="B39" s="5" t="str">
        <f>MID("АБВГДЕЁЖЗИЙКЛМНОПРСТУФХЦЧШЩЪЫЬЭЮЯ",B38,1)</f>
        <v>Щ</v>
      </c>
      <c r="C39" s="5" t="str">
        <f>MID("АБВГДЕЁЖЗИЙКЛМНОПРСТУФХЦЧШЩЪЫЬЭЮЯ",C38,1)</f>
        <v>У</v>
      </c>
      <c r="D39" s="5" t="str">
        <f>MID("АБВГДЕЁЖЗИЙКЛМНОПРСТУФХЦЧШЩЪЫЬЭЮЯ",D38,1)</f>
        <v>Р</v>
      </c>
      <c r="E39" s="5" t="str">
        <f>MID("АБВГДЕЁЖЗИЙКЛМНОПРСТУФХЦЧШЩЪЫЬЭЮЯ",E38,1)</f>
        <v>О</v>
      </c>
      <c r="F39" s="5" t="str">
        <f>MID("АБВГДЕЁЖЗИЙКЛМНОПРСТУФХЦЧШЩЪЫЬЭЮЯ",F38,1)</f>
        <v>В</v>
      </c>
    </row>
    <row r="41" spans="1:7" ht="27.75" customHeight="1" x14ac:dyDescent="0.3">
      <c r="A41" s="14" t="s">
        <v>232</v>
      </c>
      <c r="B41" s="14"/>
      <c r="C41" s="14"/>
      <c r="D41" s="14"/>
      <c r="E41" s="14"/>
      <c r="F41" s="14"/>
      <c r="G41" s="14"/>
    </row>
  </sheetData>
  <mergeCells count="26">
    <mergeCell ref="A1:G1"/>
    <mergeCell ref="A3:G3"/>
    <mergeCell ref="D4:G4"/>
    <mergeCell ref="D5:G5"/>
    <mergeCell ref="D6:G6"/>
    <mergeCell ref="D7:G7"/>
    <mergeCell ref="D8:G8"/>
    <mergeCell ref="D9:G9"/>
    <mergeCell ref="A11:G11"/>
    <mergeCell ref="A13:G13"/>
    <mergeCell ref="D14:G14"/>
    <mergeCell ref="D15:G15"/>
    <mergeCell ref="D16:G16"/>
    <mergeCell ref="D17:G17"/>
    <mergeCell ref="A19:G19"/>
    <mergeCell ref="A20:G20"/>
    <mergeCell ref="B21:F21"/>
    <mergeCell ref="B22:F22"/>
    <mergeCell ref="B23:F23"/>
    <mergeCell ref="B24:F24"/>
    <mergeCell ref="A41:G41"/>
    <mergeCell ref="B25:F25"/>
    <mergeCell ref="B26:F26"/>
    <mergeCell ref="B27:F27"/>
    <mergeCell ref="A29:G29"/>
    <mergeCell ref="A35:G35"/>
  </mergeCells>
  <printOptions horizontalCentered="1"/>
  <pageMargins left="0.5" right="0.5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4"/>
  <sheetViews>
    <sheetView showGridLines="0" zoomScaleNormal="100" workbookViewId="0">
      <selection activeCell="A11" sqref="A11:F14"/>
    </sheetView>
  </sheetViews>
  <sheetFormatPr defaultColWidth="8.6640625" defaultRowHeight="14.4" x14ac:dyDescent="0.3"/>
  <cols>
    <col min="1" max="1" width="32" customWidth="1"/>
    <col min="2" max="6" width="13" customWidth="1"/>
  </cols>
  <sheetData>
    <row r="1" spans="1:6" ht="21.75" customHeight="1" x14ac:dyDescent="0.3">
      <c r="A1" s="22" t="s">
        <v>233</v>
      </c>
      <c r="B1" s="22"/>
      <c r="C1" s="22"/>
      <c r="D1" s="22"/>
      <c r="E1" s="22"/>
      <c r="F1" s="22"/>
    </row>
    <row r="3" spans="1:6" ht="15" customHeight="1" x14ac:dyDescent="0.3">
      <c r="A3" s="13" t="s">
        <v>234</v>
      </c>
      <c r="B3" s="13"/>
      <c r="C3" s="13"/>
      <c r="D3" s="13"/>
      <c r="E3" s="13"/>
      <c r="F3" s="13"/>
    </row>
    <row r="4" spans="1:6" x14ac:dyDescent="0.3">
      <c r="A4" s="4" t="s">
        <v>235</v>
      </c>
      <c r="B4" s="4" t="s">
        <v>34</v>
      </c>
      <c r="C4" s="4" t="s">
        <v>62</v>
      </c>
      <c r="D4" s="4" t="s">
        <v>44</v>
      </c>
      <c r="E4" s="4" t="s">
        <v>32</v>
      </c>
      <c r="F4" s="4" t="s">
        <v>24</v>
      </c>
    </row>
    <row r="5" spans="1:6" x14ac:dyDescent="0.3">
      <c r="A5" s="1" t="s">
        <v>236</v>
      </c>
      <c r="B5" s="5">
        <f>RSA!C23</f>
        <v>14</v>
      </c>
      <c r="C5" s="5">
        <f>RSA!D23</f>
        <v>109</v>
      </c>
      <c r="D5" s="5">
        <f>RSA!E23</f>
        <v>138</v>
      </c>
      <c r="E5" s="5">
        <f>RSA!F23</f>
        <v>3</v>
      </c>
      <c r="F5" s="5">
        <f>RSA!G23</f>
        <v>42</v>
      </c>
    </row>
    <row r="6" spans="1:6" x14ac:dyDescent="0.3">
      <c r="A6" s="1" t="s">
        <v>237</v>
      </c>
      <c r="B6" s="5">
        <f>Ранец!K23</f>
        <v>579</v>
      </c>
      <c r="C6" s="5">
        <f>Ранец!K24</f>
        <v>739</v>
      </c>
      <c r="D6" s="5">
        <f>Ранец!K25</f>
        <v>181</v>
      </c>
      <c r="E6" s="5">
        <f>Ранец!K26</f>
        <v>788</v>
      </c>
      <c r="F6" s="5">
        <f>Ранец!K27</f>
        <v>399</v>
      </c>
    </row>
    <row r="7" spans="1:6" x14ac:dyDescent="0.3">
      <c r="A7" s="1" t="s">
        <v>238</v>
      </c>
      <c r="B7" s="5">
        <f>'Эль-Гамаль'!$C$15</f>
        <v>17</v>
      </c>
      <c r="C7" s="5">
        <f>'Эль-Гамаль'!$C$15</f>
        <v>17</v>
      </c>
      <c r="D7" s="5">
        <f>'Эль-Гамаль'!$C$15</f>
        <v>17</v>
      </c>
      <c r="E7" s="5">
        <f>'Эль-Гамаль'!$C$15</f>
        <v>17</v>
      </c>
      <c r="F7" s="5">
        <f>'Эль-Гамаль'!$C$15</f>
        <v>17</v>
      </c>
    </row>
    <row r="8" spans="1:6" x14ac:dyDescent="0.3">
      <c r="A8" s="1" t="s">
        <v>239</v>
      </c>
      <c r="B8" s="5">
        <f>'Эль-Гамаль'!B33</f>
        <v>16</v>
      </c>
      <c r="C8" s="5">
        <f>'Эль-Гамаль'!C33</f>
        <v>33</v>
      </c>
      <c r="D8" s="5">
        <f>'Эль-Гамаль'!D33</f>
        <v>23</v>
      </c>
      <c r="E8" s="5">
        <f>'Эль-Гамаль'!E33</f>
        <v>4</v>
      </c>
      <c r="F8" s="5">
        <f>'Эль-Гамаль'!F33</f>
        <v>10</v>
      </c>
    </row>
    <row r="10" spans="1:6" ht="15" customHeight="1" x14ac:dyDescent="0.3">
      <c r="A10" s="18"/>
      <c r="B10" s="18"/>
      <c r="C10" s="18"/>
      <c r="D10" s="18"/>
      <c r="E10" s="18"/>
      <c r="F10" s="18"/>
    </row>
    <row r="11" spans="1:6" ht="79.5" customHeight="1" x14ac:dyDescent="0.3">
      <c r="A11" s="20"/>
      <c r="B11" s="20"/>
      <c r="C11" s="20"/>
      <c r="D11" s="20"/>
      <c r="E11" s="20"/>
      <c r="F11" s="20"/>
    </row>
    <row r="12" spans="1:6" x14ac:dyDescent="0.3">
      <c r="A12" s="20"/>
      <c r="B12" s="20"/>
      <c r="C12" s="20"/>
      <c r="D12" s="20"/>
      <c r="E12" s="20"/>
      <c r="F12" s="20"/>
    </row>
    <row r="13" spans="1:6" x14ac:dyDescent="0.3">
      <c r="A13" s="20"/>
      <c r="B13" s="20"/>
      <c r="C13" s="20"/>
      <c r="D13" s="20"/>
      <c r="E13" s="20"/>
      <c r="F13" s="20"/>
    </row>
    <row r="14" spans="1:6" x14ac:dyDescent="0.3">
      <c r="A14" s="20"/>
      <c r="B14" s="20"/>
      <c r="C14" s="20"/>
      <c r="D14" s="20"/>
      <c r="E14" s="20"/>
      <c r="F14" s="20"/>
    </row>
  </sheetData>
  <mergeCells count="4">
    <mergeCell ref="A1:F1"/>
    <mergeCell ref="A3:F3"/>
    <mergeCell ref="A10:F10"/>
    <mergeCell ref="A11:F14"/>
  </mergeCells>
  <printOptions horizontalCentered="1"/>
  <pageMargins left="0.5" right="0.5" top="0.5" bottom="0.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</vt:lpstr>
      <vt:lpstr>RSA</vt:lpstr>
      <vt:lpstr>Ранец</vt:lpstr>
      <vt:lpstr>Эль-Гамаль</vt:lpstr>
      <vt:lpstr>Итог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Роман Щуров</cp:lastModifiedBy>
  <cp:revision>0</cp:revision>
  <dcterms:created xsi:type="dcterms:W3CDTF">2026-04-20T09:30:48Z</dcterms:created>
  <dcterms:modified xsi:type="dcterms:W3CDTF">2026-04-27T09:25:28Z</dcterms:modified>
  <dc:language>en-US</dc:language>
</cp:coreProperties>
</file>